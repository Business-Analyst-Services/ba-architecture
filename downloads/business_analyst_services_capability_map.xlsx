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bility Register" sheetId="1" state="visible" r:id="rId3"/>
    <sheet name="Domains" sheetId="2" state="visible" r:id="rId4"/>
    <sheet name="L2 Capabilities" sheetId="3" state="visible" r:id="rId5"/>
    <sheet name="Read Me" sheetId="4" state="visible" r:id="rId6"/>
  </sheets>
  <definedNames>
    <definedName function="false" hidden="true" localSheetId="0" name="_xlnm._FilterDatabase" vbProcedure="false">'Capability Register'!$A$1:$G$82</definedName>
    <definedName function="false" hidden="true" localSheetId="1" name="_xlnm._FilterDatabase" vbProcedure="false">Domains!$A$1:$E$8</definedName>
    <definedName function="false" hidden="true" localSheetId="2" name="_xlnm._FilterDatabase" vbProcedure="false">'L2 Capabilities'!$A$1:$D$31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<sst xmlns="http://schemas.openxmlformats.org/spreadsheetml/2006/main" count="716" uniqueCount="358">
  <si>
    <t xml:space="preserve">ID</t>
  </si>
  <si>
    <t xml:space="preserve">L1 Domain</t>
  </si>
  <si>
    <t xml:space="preserve">L2 Capability</t>
  </si>
  <si>
    <t xml:space="preserve">L3 Capability</t>
  </si>
  <si>
    <t xml:space="preserve">Business Object</t>
  </si>
  <si>
    <t xml:space="preserve">Concept Object</t>
  </si>
  <si>
    <t xml:space="preserve">Value Stream Stages</t>
  </si>
  <si>
    <t xml:space="preserve">PSG-1.1</t>
  </si>
  <si>
    <t xml:space="preserve">Practice Strategy &amp; Governance</t>
  </si>
  <si>
    <t xml:space="preserve">Practice Strategy &amp; Positioning</t>
  </si>
  <si>
    <t xml:space="preserve">Market Positioning Definition</t>
  </si>
  <si>
    <t xml:space="preserve">Practice Strategy</t>
  </si>
  <si>
    <t xml:space="preserve">Service Offering</t>
  </si>
  <si>
    <t xml:space="preserve">— not in a value stream —</t>
  </si>
  <si>
    <t xml:space="preserve">PSG-1.2</t>
  </si>
  <si>
    <t xml:space="preserve">Service Portfolio Planning</t>
  </si>
  <si>
    <t xml:space="preserve">PSG-1.3</t>
  </si>
  <si>
    <t xml:space="preserve">Pricing &amp; Packaging</t>
  </si>
  <si>
    <t xml:space="preserve">VS1·Propose &amp; Contract</t>
  </si>
  <si>
    <t xml:space="preserve">PSG-2.1</t>
  </si>
  <si>
    <t xml:space="preserve">Methodology Stewardship</t>
  </si>
  <si>
    <t xml:space="preserve">Methodology Definition</t>
  </si>
  <si>
    <t xml:space="preserve">Methodology</t>
  </si>
  <si>
    <t xml:space="preserve">VS1·Mobilise; VS2·Sustain &amp; Improve</t>
  </si>
  <si>
    <t xml:space="preserve">PSG-2.2</t>
  </si>
  <si>
    <t xml:space="preserve">Framework Mapping &amp; Alignment</t>
  </si>
  <si>
    <t xml:space="preserve">VS1·Mobilise</t>
  </si>
  <si>
    <t xml:space="preserve">PSG-3.1</t>
  </si>
  <si>
    <t xml:space="preserve">Quality Assurance</t>
  </si>
  <si>
    <t xml:space="preserve">Deliverable Review</t>
  </si>
  <si>
    <t xml:space="preserve">Deliverable</t>
  </si>
  <si>
    <t xml:space="preserve">VS1·Deliver &amp; Assure; VS2·Assess &amp; Certify</t>
  </si>
  <si>
    <t xml:space="preserve">PSG-3.2</t>
  </si>
  <si>
    <t xml:space="preserve">Practice Standards Management</t>
  </si>
  <si>
    <t xml:space="preserve">Standard</t>
  </si>
  <si>
    <t xml:space="preserve">VS1·Deliver &amp; Assure</t>
  </si>
  <si>
    <t xml:space="preserve">PSG-4.1</t>
  </si>
  <si>
    <t xml:space="preserve">AI Governance &amp; Ethics</t>
  </si>
  <si>
    <t xml:space="preserve">AI Usage Policy Management</t>
  </si>
  <si>
    <t xml:space="preserve">AI Policy</t>
  </si>
  <si>
    <t xml:space="preserve">PSG-4.2</t>
  </si>
  <si>
    <t xml:space="preserve">AI Output Assurance</t>
  </si>
  <si>
    <t xml:space="preserve">VS1·Analyse &amp; Specify</t>
  </si>
  <si>
    <t xml:space="preserve">CEA-1.1</t>
  </si>
  <si>
    <t xml:space="preserve">Client Engagement &amp; Advisory</t>
  </si>
  <si>
    <t xml:space="preserve">Opportunity Qualification</t>
  </si>
  <si>
    <t xml:space="preserve">Enquiry Triage</t>
  </si>
  <si>
    <t xml:space="preserve">Opportunity</t>
  </si>
  <si>
    <t xml:space="preserve">VS1·Attract &amp; Qualify</t>
  </si>
  <si>
    <t xml:space="preserve">CEA-1.2</t>
  </si>
  <si>
    <t xml:space="preserve">Needs Assessment</t>
  </si>
  <si>
    <t xml:space="preserve">CEA-1.3</t>
  </si>
  <si>
    <t xml:space="preserve">Proposal Development</t>
  </si>
  <si>
    <t xml:space="preserve">Proposal</t>
  </si>
  <si>
    <t xml:space="preserve">CEA-2.1</t>
  </si>
  <si>
    <t xml:space="preserve">Engagement Contracting</t>
  </si>
  <si>
    <t xml:space="preserve">Statement of Work Agreement</t>
  </si>
  <si>
    <t xml:space="preserve">Contract</t>
  </si>
  <si>
    <t xml:space="preserve">CEA-2.2</t>
  </si>
  <si>
    <t xml:space="preserve">Commercial Terms Setting</t>
  </si>
  <si>
    <t xml:space="preserve">CEA-3.1</t>
  </si>
  <si>
    <t xml:space="preserve">Business Analysis Delivery</t>
  </si>
  <si>
    <t xml:space="preserve">Stakeholder Analysis</t>
  </si>
  <si>
    <t xml:space="preserve">Stakeholder</t>
  </si>
  <si>
    <t xml:space="preserve">Client Stakeholder</t>
  </si>
  <si>
    <t xml:space="preserve">CEA-3.2</t>
  </si>
  <si>
    <t xml:space="preserve">Requirements Elicitation</t>
  </si>
  <si>
    <t xml:space="preserve">Requirement</t>
  </si>
  <si>
    <t xml:space="preserve">CEA-3.3</t>
  </si>
  <si>
    <t xml:space="preserve">Requirements Specification</t>
  </si>
  <si>
    <t xml:space="preserve">CEA-3.4</t>
  </si>
  <si>
    <t xml:space="preserve">Process &amp; Capability Modelling</t>
  </si>
  <si>
    <t xml:space="preserve">Model</t>
  </si>
  <si>
    <t xml:space="preserve">CEA-3.5</t>
  </si>
  <si>
    <t xml:space="preserve">Solution Option Analysis</t>
  </si>
  <si>
    <t xml:space="preserve">Solution Option</t>
  </si>
  <si>
    <t xml:space="preserve">CEA-3.6</t>
  </si>
  <si>
    <t xml:space="preserve">Traceability Management</t>
  </si>
  <si>
    <t xml:space="preserve">CEA-4.1</t>
  </si>
  <si>
    <t xml:space="preserve">Engagement Governance</t>
  </si>
  <si>
    <t xml:space="preserve">Engagement Planning</t>
  </si>
  <si>
    <t xml:space="preserve">Engagement</t>
  </si>
  <si>
    <t xml:space="preserve">CEA-4.2</t>
  </si>
  <si>
    <t xml:space="preserve">Progress &amp; Status Reporting</t>
  </si>
  <si>
    <t xml:space="preserve">Status Report</t>
  </si>
  <si>
    <t xml:space="preserve">CEA-4.3</t>
  </si>
  <si>
    <t xml:space="preserve">Risk &amp; Issue Management</t>
  </si>
  <si>
    <t xml:space="preserve">Risk</t>
  </si>
  <si>
    <t xml:space="preserve">Risk &amp; Change Record</t>
  </si>
  <si>
    <t xml:space="preserve">CEA-4.4</t>
  </si>
  <si>
    <t xml:space="preserve">Change Control</t>
  </si>
  <si>
    <t xml:space="preserve">Change Request</t>
  </si>
  <si>
    <t xml:space="preserve">CEA-5.1</t>
  </si>
  <si>
    <t xml:space="preserve">Closure &amp; Benefits Realisation</t>
  </si>
  <si>
    <t xml:space="preserve">Deliverable Handover</t>
  </si>
  <si>
    <t xml:space="preserve">CEA-5.2</t>
  </si>
  <si>
    <t xml:space="preserve">Benefits Assessment</t>
  </si>
  <si>
    <t xml:space="preserve">Benefit</t>
  </si>
  <si>
    <t xml:space="preserve">Outcome &amp; Insight</t>
  </si>
  <si>
    <t xml:space="preserve">VS1·Realise &amp; Reinvest</t>
  </si>
  <si>
    <t xml:space="preserve">CEA-5.3</t>
  </si>
  <si>
    <t xml:space="preserve">Engagement Retrospective</t>
  </si>
  <si>
    <t xml:space="preserve">KID-1.1</t>
  </si>
  <si>
    <t xml:space="preserve">Knowledge &amp; IP Development</t>
  </si>
  <si>
    <t xml:space="preserve">Research &amp; Insight</t>
  </si>
  <si>
    <t xml:space="preserve">Market &amp; Vendor Research</t>
  </si>
  <si>
    <t xml:space="preserve">Research Finding</t>
  </si>
  <si>
    <t xml:space="preserve">KID-1.2</t>
  </si>
  <si>
    <t xml:space="preserve">Practice Research</t>
  </si>
  <si>
    <t xml:space="preserve">KID-2.1</t>
  </si>
  <si>
    <t xml:space="preserve">Authoring &amp; Publication</t>
  </si>
  <si>
    <t xml:space="preserve">Manuscript Authoring</t>
  </si>
  <si>
    <t xml:space="preserve">Publication</t>
  </si>
  <si>
    <t xml:space="preserve">IP Asset</t>
  </si>
  <si>
    <t xml:space="preserve">KID-2.2</t>
  </si>
  <si>
    <t xml:space="preserve">Editorial Review</t>
  </si>
  <si>
    <t xml:space="preserve">KID-2.3</t>
  </si>
  <si>
    <t xml:space="preserve">Publishing &amp; Distribution</t>
  </si>
  <si>
    <t xml:space="preserve">KID-3.1</t>
  </si>
  <si>
    <t xml:space="preserve">Playbook &amp; Asset Development</t>
  </si>
  <si>
    <t xml:space="preserve">Playbook Design</t>
  </si>
  <si>
    <t xml:space="preserve">Playbook</t>
  </si>
  <si>
    <t xml:space="preserve">KID-3.2</t>
  </si>
  <si>
    <t xml:space="preserve">Template &amp; Tool Development</t>
  </si>
  <si>
    <t xml:space="preserve">Template</t>
  </si>
  <si>
    <t xml:space="preserve">VS1·Realise &amp; Reinvest; VS2·Prepare</t>
  </si>
  <si>
    <t xml:space="preserve">KID-3.3</t>
  </si>
  <si>
    <t xml:space="preserve">Visual Asset Production</t>
  </si>
  <si>
    <t xml:space="preserve">Visual Asset</t>
  </si>
  <si>
    <t xml:space="preserve">KID-4.1</t>
  </si>
  <si>
    <t xml:space="preserve">IP Lifecycle Management</t>
  </si>
  <si>
    <t xml:space="preserve">IP Versioning</t>
  </si>
  <si>
    <t xml:space="preserve">VS1·Realise &amp; Reinvest; VS2·Sustain &amp; Improve</t>
  </si>
  <si>
    <t xml:space="preserve">KID-4.2</t>
  </si>
  <si>
    <t xml:space="preserve">IP Licensing &amp; Rights</t>
  </si>
  <si>
    <t xml:space="preserve">LTR-1.1</t>
  </si>
  <si>
    <t xml:space="preserve">Learning &amp; Training</t>
  </si>
  <si>
    <t xml:space="preserve">Curriculum Design</t>
  </si>
  <si>
    <t xml:space="preserve">Learning Outcome Definition</t>
  </si>
  <si>
    <t xml:space="preserve">Curriculum</t>
  </si>
  <si>
    <t xml:space="preserve">Course</t>
  </si>
  <si>
    <t xml:space="preserve">VS2·Prepare</t>
  </si>
  <si>
    <t xml:space="preserve">LTR-1.2</t>
  </si>
  <si>
    <t xml:space="preserve">Module &amp; Session Design</t>
  </si>
  <si>
    <t xml:space="preserve">LTR-1.3</t>
  </si>
  <si>
    <t xml:space="preserve">Courseware Production</t>
  </si>
  <si>
    <t xml:space="preserve">Courseware</t>
  </si>
  <si>
    <t xml:space="preserve">LTR-2.1</t>
  </si>
  <si>
    <t xml:space="preserve">Scheduling &amp; Enrolment</t>
  </si>
  <si>
    <t xml:space="preserve">Cohort Scheduling</t>
  </si>
  <si>
    <t xml:space="preserve">Cohort</t>
  </si>
  <si>
    <t xml:space="preserve">VS2·Attract &amp; Enrol</t>
  </si>
  <si>
    <t xml:space="preserve">LTR-2.2</t>
  </si>
  <si>
    <t xml:space="preserve">Registration &amp; Ticketing</t>
  </si>
  <si>
    <t xml:space="preserve">Enrolment</t>
  </si>
  <si>
    <t xml:space="preserve">LTR-2.3</t>
  </si>
  <si>
    <t xml:space="preserve">Enrolment Administration</t>
  </si>
  <si>
    <t xml:space="preserve">LTR-3.1</t>
  </si>
  <si>
    <t xml:space="preserve">Facilitation &amp; Delivery</t>
  </si>
  <si>
    <t xml:space="preserve">Session Facilitation</t>
  </si>
  <si>
    <t xml:space="preserve">Session</t>
  </si>
  <si>
    <t xml:space="preserve">VS2·Deliver</t>
  </si>
  <si>
    <t xml:space="preserve">LTR-3.2</t>
  </si>
  <si>
    <t xml:space="preserve">Workshop Facilitation</t>
  </si>
  <si>
    <t xml:space="preserve">LTR-3.3</t>
  </si>
  <si>
    <t xml:space="preserve">Learner Support</t>
  </si>
  <si>
    <t xml:space="preserve">Learner</t>
  </si>
  <si>
    <t xml:space="preserve">LTR-4.1</t>
  </si>
  <si>
    <t xml:space="preserve">Assessment &amp; Certification</t>
  </si>
  <si>
    <t xml:space="preserve">Assessment Design</t>
  </si>
  <si>
    <t xml:space="preserve">Assessment</t>
  </si>
  <si>
    <t xml:space="preserve">VS2·Assess &amp; Certify</t>
  </si>
  <si>
    <t xml:space="preserve">LTR-4.2</t>
  </si>
  <si>
    <t xml:space="preserve">Assessment Marking</t>
  </si>
  <si>
    <t xml:space="preserve">LTR-4.3</t>
  </si>
  <si>
    <t xml:space="preserve">Certification Issuance</t>
  </si>
  <si>
    <t xml:space="preserve">Certificate</t>
  </si>
  <si>
    <t xml:space="preserve">LTR-5.1</t>
  </si>
  <si>
    <t xml:space="preserve">Learner Feedback</t>
  </si>
  <si>
    <t xml:space="preserve">Feedback Collection</t>
  </si>
  <si>
    <t xml:space="preserve">Feedback</t>
  </si>
  <si>
    <t xml:space="preserve">VS2·Sustain &amp; Improve</t>
  </si>
  <si>
    <t xml:space="preserve">LTR-5.2</t>
  </si>
  <si>
    <t xml:space="preserve">Course Improvement</t>
  </si>
  <si>
    <t xml:space="preserve">MKT-1.1</t>
  </si>
  <si>
    <t xml:space="preserve">Market Development</t>
  </si>
  <si>
    <t xml:space="preserve">Brand &amp; Content</t>
  </si>
  <si>
    <t xml:space="preserve">Brand Management</t>
  </si>
  <si>
    <t xml:space="preserve">Brand</t>
  </si>
  <si>
    <t xml:space="preserve">Brand Content</t>
  </si>
  <si>
    <t xml:space="preserve">MKT-1.2</t>
  </si>
  <si>
    <t xml:space="preserve">Content Production</t>
  </si>
  <si>
    <t xml:space="preserve">Content Item</t>
  </si>
  <si>
    <t xml:space="preserve">VS1·Attract &amp; Qualify; VS2·Attract &amp; Enrol</t>
  </si>
  <si>
    <t xml:space="preserve">MKT-1.3</t>
  </si>
  <si>
    <t xml:space="preserve">Content Publishing</t>
  </si>
  <si>
    <t xml:space="preserve">MKT-2.1</t>
  </si>
  <si>
    <t xml:space="preserve">Campaign Execution</t>
  </si>
  <si>
    <t xml:space="preserve">Campaign Planning</t>
  </si>
  <si>
    <t xml:space="preserve">Campaign</t>
  </si>
  <si>
    <t xml:space="preserve">MKT-2.2</t>
  </si>
  <si>
    <t xml:space="preserve">Campaign Delivery</t>
  </si>
  <si>
    <t xml:space="preserve">MKT-2.3</t>
  </si>
  <si>
    <t xml:space="preserve">Campaign Performance Analysis</t>
  </si>
  <si>
    <t xml:space="preserve">MKT-3.1</t>
  </si>
  <si>
    <t xml:space="preserve">Lead Management</t>
  </si>
  <si>
    <t xml:space="preserve">Lead Capture</t>
  </si>
  <si>
    <t xml:space="preserve">Lead</t>
  </si>
  <si>
    <t xml:space="preserve">MKT-3.2</t>
  </si>
  <si>
    <t xml:space="preserve">Lead Nurture</t>
  </si>
  <si>
    <t xml:space="preserve">MKT-3.3</t>
  </si>
  <si>
    <t xml:space="preserve">Lead Conversion</t>
  </si>
  <si>
    <t xml:space="preserve">MKT-4.1</t>
  </si>
  <si>
    <t xml:space="preserve">Partnerships &amp; Community</t>
  </si>
  <si>
    <t xml:space="preserve">Partner Relationship Management</t>
  </si>
  <si>
    <t xml:space="preserve">Partner</t>
  </si>
  <si>
    <t xml:space="preserve">MKT-4.2</t>
  </si>
  <si>
    <t xml:space="preserve">Community &amp; Study Group Facilitation</t>
  </si>
  <si>
    <t xml:space="preserve">Community Member</t>
  </si>
  <si>
    <t xml:space="preserve">PLT-1.1</t>
  </si>
  <si>
    <t xml:space="preserve">Platform &amp; Technology</t>
  </si>
  <si>
    <t xml:space="preserve">Product Engineering</t>
  </si>
  <si>
    <t xml:space="preserve">Product Backlog Management</t>
  </si>
  <si>
    <t xml:space="preserve">Backlog Item</t>
  </si>
  <si>
    <t xml:space="preserve">Platform Component</t>
  </si>
  <si>
    <t xml:space="preserve">PLT-1.2</t>
  </si>
  <si>
    <t xml:space="preserve">Software Development</t>
  </si>
  <si>
    <t xml:space="preserve">Software Component</t>
  </si>
  <si>
    <t xml:space="preserve">PLT-1.3</t>
  </si>
  <si>
    <t xml:space="preserve">Automated Testing</t>
  </si>
  <si>
    <t xml:space="preserve">Test Case</t>
  </si>
  <si>
    <t xml:space="preserve">PLT-2.1</t>
  </si>
  <si>
    <t xml:space="preserve">Release &amp; Environment Management</t>
  </si>
  <si>
    <t xml:space="preserve">Environment Provisioning</t>
  </si>
  <si>
    <t xml:space="preserve">Environment</t>
  </si>
  <si>
    <t xml:space="preserve">PLT-2.2</t>
  </si>
  <si>
    <t xml:space="preserve">Release Deployment</t>
  </si>
  <si>
    <t xml:space="preserve">Release</t>
  </si>
  <si>
    <t xml:space="preserve">PLT-2.3</t>
  </si>
  <si>
    <t xml:space="preserve">Incident Response</t>
  </si>
  <si>
    <t xml:space="preserve">Incident</t>
  </si>
  <si>
    <t xml:space="preserve">PLT-3.1</t>
  </si>
  <si>
    <t xml:space="preserve">Data &amp; Analytics</t>
  </si>
  <si>
    <t xml:space="preserve">Usage Analytics</t>
  </si>
  <si>
    <t xml:space="preserve">Analytics Metric</t>
  </si>
  <si>
    <t xml:space="preserve">PLT-3.2</t>
  </si>
  <si>
    <t xml:space="preserve">Reporting &amp; Dashboards</t>
  </si>
  <si>
    <t xml:space="preserve">PLT-4.1</t>
  </si>
  <si>
    <t xml:space="preserve">Security &amp; Access</t>
  </si>
  <si>
    <t xml:space="preserve">Identity &amp; Access Management</t>
  </si>
  <si>
    <t xml:space="preserve">User Account</t>
  </si>
  <si>
    <t xml:space="preserve">VS1·Mobilise; VS2·Deliver</t>
  </si>
  <si>
    <t xml:space="preserve">PLT-4.2</t>
  </si>
  <si>
    <t xml:space="preserve">Data Protection &amp; Privacy</t>
  </si>
  <si>
    <t xml:space="preserve">Privacy Record</t>
  </si>
  <si>
    <t xml:space="preserve">Compliance Record</t>
  </si>
  <si>
    <t xml:space="preserve">OPS-1.1</t>
  </si>
  <si>
    <t xml:space="preserve">Business Operations</t>
  </si>
  <si>
    <t xml:space="preserve">Finance &amp; Billing</t>
  </si>
  <si>
    <t xml:space="preserve">Invoicing</t>
  </si>
  <si>
    <t xml:space="preserve">Invoice</t>
  </si>
  <si>
    <t xml:space="preserve">Financial Transaction</t>
  </si>
  <si>
    <t xml:space="preserve">VS1·Realise &amp; Reinvest; VS2·Attract &amp; Enrol</t>
  </si>
  <si>
    <t xml:space="preserve">OPS-1.2</t>
  </si>
  <si>
    <t xml:space="preserve">Payment Collection</t>
  </si>
  <si>
    <t xml:space="preserve">Payment</t>
  </si>
  <si>
    <t xml:space="preserve">OPS-1.3</t>
  </si>
  <si>
    <t xml:space="preserve">Financial Reporting</t>
  </si>
  <si>
    <t xml:space="preserve">Financial Record</t>
  </si>
  <si>
    <t xml:space="preserve">OPS-2.1</t>
  </si>
  <si>
    <t xml:space="preserve">Resourcing &amp; Capacity</t>
  </si>
  <si>
    <t xml:space="preserve">Capacity Planning</t>
  </si>
  <si>
    <t xml:space="preserve">Resource Plan</t>
  </si>
  <si>
    <t xml:space="preserve">Practitioner</t>
  </si>
  <si>
    <t xml:space="preserve">VS1·Propose &amp; Contract; VS2·Prepare</t>
  </si>
  <si>
    <t xml:space="preserve">OPS-2.2</t>
  </si>
  <si>
    <t xml:space="preserve">Associate &amp; Contractor Sourcing</t>
  </si>
  <si>
    <t xml:space="preserve">Associate</t>
  </si>
  <si>
    <t xml:space="preserve">OPS-3.1</t>
  </si>
  <si>
    <t xml:space="preserve">Vendor &amp; Subscription Management</t>
  </si>
  <si>
    <t xml:space="preserve">Vendor Selection</t>
  </si>
  <si>
    <t xml:space="preserve">Vendor</t>
  </si>
  <si>
    <t xml:space="preserve">OPS-3.2</t>
  </si>
  <si>
    <t xml:space="preserve">Subscription Administration</t>
  </si>
  <si>
    <t xml:space="preserve">Subscription</t>
  </si>
  <si>
    <t xml:space="preserve">OPS-4.1</t>
  </si>
  <si>
    <t xml:space="preserve">Compliance &amp; Records</t>
  </si>
  <si>
    <t xml:space="preserve">Records Management</t>
  </si>
  <si>
    <t xml:space="preserve">Record</t>
  </si>
  <si>
    <t xml:space="preserve">OPS-4.2</t>
  </si>
  <si>
    <t xml:space="preserve">Regulatory Compliance</t>
  </si>
  <si>
    <t xml:space="preserve">Compliance Obligation</t>
  </si>
  <si>
    <t xml:space="preserve">L2 Count</t>
  </si>
  <si>
    <t xml:space="preserve">L3 Count</t>
  </si>
  <si>
    <t xml:space="preserve">% of Map</t>
  </si>
  <si>
    <t xml:space="preserve">PSG</t>
  </si>
  <si>
    <t xml:space="preserve">CEA</t>
  </si>
  <si>
    <t xml:space="preserve">KID</t>
  </si>
  <si>
    <t xml:space="preserve">LTR</t>
  </si>
  <si>
    <t xml:space="preserve">MKT</t>
  </si>
  <si>
    <t xml:space="preserve">PLT</t>
  </si>
  <si>
    <t xml:space="preserve">OPS</t>
  </si>
  <si>
    <t xml:space="preserve">Total</t>
  </si>
  <si>
    <t xml:space="preserve">PSG-1</t>
  </si>
  <si>
    <t xml:space="preserve">PSG-2</t>
  </si>
  <si>
    <t xml:space="preserve">PSG-3</t>
  </si>
  <si>
    <t xml:space="preserve">PSG-4</t>
  </si>
  <si>
    <t xml:space="preserve">CEA-1</t>
  </si>
  <si>
    <t xml:space="preserve">CEA-2</t>
  </si>
  <si>
    <t xml:space="preserve">CEA-3</t>
  </si>
  <si>
    <t xml:space="preserve">CEA-4</t>
  </si>
  <si>
    <t xml:space="preserve">CEA-5</t>
  </si>
  <si>
    <t xml:space="preserve">KID-1</t>
  </si>
  <si>
    <t xml:space="preserve">KID-2</t>
  </si>
  <si>
    <t xml:space="preserve">KID-3</t>
  </si>
  <si>
    <t xml:space="preserve">KID-4</t>
  </si>
  <si>
    <t xml:space="preserve">LTR-1</t>
  </si>
  <si>
    <t xml:space="preserve">LTR-2</t>
  </si>
  <si>
    <t xml:space="preserve">LTR-3</t>
  </si>
  <si>
    <t xml:space="preserve">LTR-4</t>
  </si>
  <si>
    <t xml:space="preserve">LTR-5</t>
  </si>
  <si>
    <t xml:space="preserve">MKT-1</t>
  </si>
  <si>
    <t xml:space="preserve">MKT-2</t>
  </si>
  <si>
    <t xml:space="preserve">MKT-3</t>
  </si>
  <si>
    <t xml:space="preserve">MKT-4</t>
  </si>
  <si>
    <t xml:space="preserve">PLT-1</t>
  </si>
  <si>
    <t xml:space="preserve">PLT-2</t>
  </si>
  <si>
    <t xml:space="preserve">PLT-3</t>
  </si>
  <si>
    <t xml:space="preserve">PLT-4</t>
  </si>
  <si>
    <t xml:space="preserve">OPS-1</t>
  </si>
  <si>
    <t xml:space="preserve">OPS-2</t>
  </si>
  <si>
    <t xml:space="preserve">OPS-3</t>
  </si>
  <si>
    <t xml:space="preserve">OPS-4</t>
  </si>
  <si>
    <t xml:space="preserve">BAS Capability Map — Capability Register</t>
  </si>
  <si>
    <t xml:space="preserve">About this workbook</t>
  </si>
  <si>
    <t xml:space="preserve">Purpose</t>
  </si>
  <si>
    <t xml:space="preserve">A three-level capability map of Business Analyst Services: what the practice is able to do, independent of who does it or how it is organised.</t>
  </si>
  <si>
    <t xml:space="preserve">Structure</t>
  </si>
  <si>
    <t xml:space="preserve">L1 Domain &gt; L2 Capability &gt; L3 Capability. Level 3 is the unit of analysis; levels 1 and 2 are grouping only.</t>
  </si>
  <si>
    <t xml:space="preserve">The thing each L3 capability acts on, captured during capability elicitation. These are consolidated into the Concept Object column.</t>
  </si>
  <si>
    <t xml:space="preserve">The consolidated object from the companion Concept Model workbook. 57 business objects map to 22 concept objects.</t>
  </si>
  <si>
    <t xml:space="preserve">Which stage(s) of which value stream call on this capability. Capabilities showing '— not in a value stream —' are enabling or strategic rather than value-producing.</t>
  </si>
  <si>
    <t xml:space="preserve">Tabs</t>
  </si>
  <si>
    <t xml:space="preserve">Capability Register</t>
  </si>
  <si>
    <t xml:space="preserve">Every L3 capability, one per row. The authoritative list.</t>
  </si>
  <si>
    <t xml:space="preserve">Domains</t>
  </si>
  <si>
    <t xml:space="preserve">L1 rollup. L3 Count and % of Map are formulas over the register — they update if rows are added or removed.</t>
  </si>
  <si>
    <t xml:space="preserve">L2 Capabilities</t>
  </si>
  <si>
    <t xml:space="preserve">L2 rollup, also formula-driven.</t>
  </si>
  <si>
    <t xml:space="preserve">Provenance</t>
  </si>
  <si>
    <t xml:space="preserve">Generated</t>
  </si>
  <si>
    <t xml:space="preserve">PlausibleBA Skills Library v1.5.0</t>
  </si>
  <si>
    <t xml:space="preserve">Generated at</t>
  </si>
  <si>
    <t xml:space="preserve">2026-09-15T05:51:56Z</t>
  </si>
  <si>
    <t xml:space="preserve">Scaffold ID</t>
  </si>
  <si>
    <t xml:space="preserve">ff32d393-0683-4be7-9108-134ef7198995</t>
  </si>
  <si>
    <t xml:space="preserve">Source</t>
  </si>
  <si>
    <t xml:space="preserve">Elicited in session from a description of Business Analyst Services and confirmed at checkpoints 1A and 1B. Not derived from an external reference model.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</si>
</sst>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23446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446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344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344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34"/>
    <col collapsed="false" customWidth="true" hidden="false" outlineLevel="0" max="6" min="5" style="0" width="22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3" t="s">
        <v>13</v>
      </c>
    </row>
    <row r="3" customFormat="false" ht="15" hidden="false" customHeight="false" outlineLevel="0" collapsed="false">
      <c r="A3" s="2" t="s">
        <v>14</v>
      </c>
      <c r="B3" s="3" t="s">
        <v>8</v>
      </c>
      <c r="C3" s="3" t="s">
        <v>9</v>
      </c>
      <c r="D3" s="3" t="s">
        <v>15</v>
      </c>
      <c r="E3" s="2" t="s">
        <v>12</v>
      </c>
      <c r="F3" s="2" t="s">
        <v>12</v>
      </c>
      <c r="G3" s="3" t="s">
        <v>13</v>
      </c>
    </row>
    <row r="4" customFormat="false" ht="15" hidden="false" customHeight="false" outlineLevel="0" collapsed="false">
      <c r="A4" s="2" t="s">
        <v>16</v>
      </c>
      <c r="B4" s="3" t="s">
        <v>8</v>
      </c>
      <c r="C4" s="3" t="s">
        <v>9</v>
      </c>
      <c r="D4" s="3" t="s">
        <v>17</v>
      </c>
      <c r="E4" s="2" t="s">
        <v>12</v>
      </c>
      <c r="F4" s="2" t="s">
        <v>12</v>
      </c>
      <c r="G4" s="3" t="s">
        <v>18</v>
      </c>
    </row>
    <row r="5" customFormat="false" ht="15" hidden="false" customHeight="false" outlineLevel="0" collapsed="false">
      <c r="A5" s="2" t="s">
        <v>19</v>
      </c>
      <c r="B5" s="3" t="s">
        <v>8</v>
      </c>
      <c r="C5" s="3" t="s">
        <v>20</v>
      </c>
      <c r="D5" s="3" t="s">
        <v>21</v>
      </c>
      <c r="E5" s="2" t="s">
        <v>22</v>
      </c>
      <c r="F5" s="2" t="s">
        <v>22</v>
      </c>
      <c r="G5" s="3" t="s">
        <v>23</v>
      </c>
    </row>
    <row r="6" customFormat="false" ht="15" hidden="false" customHeight="false" outlineLevel="0" collapsed="false">
      <c r="A6" s="2" t="s">
        <v>24</v>
      </c>
      <c r="B6" s="3" t="s">
        <v>8</v>
      </c>
      <c r="C6" s="3" t="s">
        <v>20</v>
      </c>
      <c r="D6" s="3" t="s">
        <v>25</v>
      </c>
      <c r="E6" s="2" t="s">
        <v>22</v>
      </c>
      <c r="F6" s="2" t="s">
        <v>22</v>
      </c>
      <c r="G6" s="3" t="s">
        <v>26</v>
      </c>
    </row>
    <row r="7" customFormat="false" ht="15" hidden="false" customHeight="false" outlineLevel="0" collapsed="false">
      <c r="A7" s="2" t="s">
        <v>27</v>
      </c>
      <c r="B7" s="3" t="s">
        <v>8</v>
      </c>
      <c r="C7" s="3" t="s">
        <v>28</v>
      </c>
      <c r="D7" s="3" t="s">
        <v>29</v>
      </c>
      <c r="E7" s="2" t="s">
        <v>30</v>
      </c>
      <c r="F7" s="2" t="s">
        <v>30</v>
      </c>
      <c r="G7" s="3" t="s">
        <v>31</v>
      </c>
    </row>
    <row r="8" customFormat="false" ht="15" hidden="false" customHeight="false" outlineLevel="0" collapsed="false">
      <c r="A8" s="2" t="s">
        <v>32</v>
      </c>
      <c r="B8" s="3" t="s">
        <v>8</v>
      </c>
      <c r="C8" s="3" t="s">
        <v>28</v>
      </c>
      <c r="D8" s="3" t="s">
        <v>33</v>
      </c>
      <c r="E8" s="2" t="s">
        <v>34</v>
      </c>
      <c r="F8" s="2" t="s">
        <v>22</v>
      </c>
      <c r="G8" s="3" t="s">
        <v>35</v>
      </c>
    </row>
    <row r="9" customFormat="false" ht="15" hidden="false" customHeight="false" outlineLevel="0" collapsed="false">
      <c r="A9" s="2" t="s">
        <v>36</v>
      </c>
      <c r="B9" s="3" t="s">
        <v>8</v>
      </c>
      <c r="C9" s="3" t="s">
        <v>37</v>
      </c>
      <c r="D9" s="3" t="s">
        <v>38</v>
      </c>
      <c r="E9" s="2" t="s">
        <v>39</v>
      </c>
      <c r="F9" s="2" t="s">
        <v>22</v>
      </c>
      <c r="G9" s="3" t="s">
        <v>26</v>
      </c>
    </row>
    <row r="10" customFormat="false" ht="15" hidden="false" customHeight="false" outlineLevel="0" collapsed="false">
      <c r="A10" s="2" t="s">
        <v>40</v>
      </c>
      <c r="B10" s="3" t="s">
        <v>8</v>
      </c>
      <c r="C10" s="3" t="s">
        <v>37</v>
      </c>
      <c r="D10" s="3" t="s">
        <v>41</v>
      </c>
      <c r="E10" s="2" t="s">
        <v>39</v>
      </c>
      <c r="F10" s="2" t="s">
        <v>22</v>
      </c>
      <c r="G10" s="3" t="s">
        <v>42</v>
      </c>
    </row>
    <row r="11" customFormat="false" ht="15" hidden="false" customHeight="false" outlineLevel="0" collapsed="false">
      <c r="A11" s="2" t="s">
        <v>43</v>
      </c>
      <c r="B11" s="3" t="s">
        <v>44</v>
      </c>
      <c r="C11" s="3" t="s">
        <v>45</v>
      </c>
      <c r="D11" s="3" t="s">
        <v>46</v>
      </c>
      <c r="E11" s="2" t="s">
        <v>47</v>
      </c>
      <c r="F11" s="2" t="s">
        <v>47</v>
      </c>
      <c r="G11" s="3" t="s">
        <v>48</v>
      </c>
    </row>
    <row r="12" customFormat="false" ht="15" hidden="false" customHeight="false" outlineLevel="0" collapsed="false">
      <c r="A12" s="2" t="s">
        <v>49</v>
      </c>
      <c r="B12" s="3" t="s">
        <v>44</v>
      </c>
      <c r="C12" s="3" t="s">
        <v>45</v>
      </c>
      <c r="D12" s="3" t="s">
        <v>50</v>
      </c>
      <c r="E12" s="2" t="s">
        <v>47</v>
      </c>
      <c r="F12" s="2" t="s">
        <v>47</v>
      </c>
      <c r="G12" s="3" t="s">
        <v>48</v>
      </c>
    </row>
    <row r="13" customFormat="false" ht="15" hidden="false" customHeight="false" outlineLevel="0" collapsed="false">
      <c r="A13" s="2" t="s">
        <v>51</v>
      </c>
      <c r="B13" s="3" t="s">
        <v>44</v>
      </c>
      <c r="C13" s="3" t="s">
        <v>45</v>
      </c>
      <c r="D13" s="3" t="s">
        <v>52</v>
      </c>
      <c r="E13" s="2" t="s">
        <v>53</v>
      </c>
      <c r="F13" s="2" t="s">
        <v>47</v>
      </c>
      <c r="G13" s="3" t="s">
        <v>18</v>
      </c>
    </row>
    <row r="14" customFormat="false" ht="15" hidden="false" customHeight="false" outlineLevel="0" collapsed="false">
      <c r="A14" s="2" t="s">
        <v>54</v>
      </c>
      <c r="B14" s="3" t="s">
        <v>44</v>
      </c>
      <c r="C14" s="3" t="s">
        <v>55</v>
      </c>
      <c r="D14" s="3" t="s">
        <v>56</v>
      </c>
      <c r="E14" s="2" t="s">
        <v>57</v>
      </c>
      <c r="F14" s="2" t="s">
        <v>57</v>
      </c>
      <c r="G14" s="3" t="s">
        <v>18</v>
      </c>
    </row>
    <row r="15" customFormat="false" ht="15" hidden="false" customHeight="false" outlineLevel="0" collapsed="false">
      <c r="A15" s="2" t="s">
        <v>58</v>
      </c>
      <c r="B15" s="3" t="s">
        <v>44</v>
      </c>
      <c r="C15" s="3" t="s">
        <v>55</v>
      </c>
      <c r="D15" s="3" t="s">
        <v>59</v>
      </c>
      <c r="E15" s="2" t="s">
        <v>57</v>
      </c>
      <c r="F15" s="2" t="s">
        <v>57</v>
      </c>
      <c r="G15" s="3" t="s">
        <v>18</v>
      </c>
    </row>
    <row r="16" customFormat="false" ht="15" hidden="false" customHeight="false" outlineLevel="0" collapsed="false">
      <c r="A16" s="2" t="s">
        <v>60</v>
      </c>
      <c r="B16" s="3" t="s">
        <v>44</v>
      </c>
      <c r="C16" s="3" t="s">
        <v>61</v>
      </c>
      <c r="D16" s="3" t="s">
        <v>62</v>
      </c>
      <c r="E16" s="2" t="s">
        <v>63</v>
      </c>
      <c r="F16" s="2" t="s">
        <v>64</v>
      </c>
      <c r="G16" s="3" t="s">
        <v>26</v>
      </c>
    </row>
    <row r="17" customFormat="false" ht="15" hidden="false" customHeight="false" outlineLevel="0" collapsed="false">
      <c r="A17" s="2" t="s">
        <v>65</v>
      </c>
      <c r="B17" s="3" t="s">
        <v>44</v>
      </c>
      <c r="C17" s="3" t="s">
        <v>61</v>
      </c>
      <c r="D17" s="3" t="s">
        <v>66</v>
      </c>
      <c r="E17" s="2" t="s">
        <v>67</v>
      </c>
      <c r="F17" s="2" t="s">
        <v>67</v>
      </c>
      <c r="G17" s="3" t="s">
        <v>42</v>
      </c>
    </row>
    <row r="18" customFormat="false" ht="15" hidden="false" customHeight="false" outlineLevel="0" collapsed="false">
      <c r="A18" s="2" t="s">
        <v>68</v>
      </c>
      <c r="B18" s="3" t="s">
        <v>44</v>
      </c>
      <c r="C18" s="3" t="s">
        <v>61</v>
      </c>
      <c r="D18" s="3" t="s">
        <v>69</v>
      </c>
      <c r="E18" s="2" t="s">
        <v>67</v>
      </c>
      <c r="F18" s="2" t="s">
        <v>67</v>
      </c>
      <c r="G18" s="3" t="s">
        <v>42</v>
      </c>
    </row>
    <row r="19" customFormat="false" ht="15" hidden="false" customHeight="false" outlineLevel="0" collapsed="false">
      <c r="A19" s="2" t="s">
        <v>70</v>
      </c>
      <c r="B19" s="3" t="s">
        <v>44</v>
      </c>
      <c r="C19" s="3" t="s">
        <v>61</v>
      </c>
      <c r="D19" s="3" t="s">
        <v>71</v>
      </c>
      <c r="E19" s="2" t="s">
        <v>72</v>
      </c>
      <c r="F19" s="2" t="s">
        <v>67</v>
      </c>
      <c r="G19" s="3" t="s">
        <v>42</v>
      </c>
    </row>
    <row r="20" customFormat="false" ht="15" hidden="false" customHeight="false" outlineLevel="0" collapsed="false">
      <c r="A20" s="2" t="s">
        <v>73</v>
      </c>
      <c r="B20" s="3" t="s">
        <v>44</v>
      </c>
      <c r="C20" s="3" t="s">
        <v>61</v>
      </c>
      <c r="D20" s="3" t="s">
        <v>74</v>
      </c>
      <c r="E20" s="2" t="s">
        <v>75</v>
      </c>
      <c r="F20" s="2" t="s">
        <v>67</v>
      </c>
      <c r="G20" s="3" t="s">
        <v>42</v>
      </c>
    </row>
    <row r="21" customFormat="false" ht="15" hidden="false" customHeight="false" outlineLevel="0" collapsed="false">
      <c r="A21" s="2" t="s">
        <v>76</v>
      </c>
      <c r="B21" s="3" t="s">
        <v>44</v>
      </c>
      <c r="C21" s="3" t="s">
        <v>61</v>
      </c>
      <c r="D21" s="3" t="s">
        <v>77</v>
      </c>
      <c r="E21" s="2" t="s">
        <v>67</v>
      </c>
      <c r="F21" s="2" t="s">
        <v>67</v>
      </c>
      <c r="G21" s="3" t="s">
        <v>42</v>
      </c>
    </row>
    <row r="22" customFormat="false" ht="15" hidden="false" customHeight="false" outlineLevel="0" collapsed="false">
      <c r="A22" s="2" t="s">
        <v>78</v>
      </c>
      <c r="B22" s="3" t="s">
        <v>44</v>
      </c>
      <c r="C22" s="3" t="s">
        <v>79</v>
      </c>
      <c r="D22" s="3" t="s">
        <v>80</v>
      </c>
      <c r="E22" s="2" t="s">
        <v>81</v>
      </c>
      <c r="F22" s="2" t="s">
        <v>81</v>
      </c>
      <c r="G22" s="3" t="s">
        <v>26</v>
      </c>
    </row>
    <row r="23" customFormat="false" ht="15" hidden="false" customHeight="false" outlineLevel="0" collapsed="false">
      <c r="A23" s="2" t="s">
        <v>82</v>
      </c>
      <c r="B23" s="3" t="s">
        <v>44</v>
      </c>
      <c r="C23" s="3" t="s">
        <v>79</v>
      </c>
      <c r="D23" s="3" t="s">
        <v>83</v>
      </c>
      <c r="E23" s="2" t="s">
        <v>84</v>
      </c>
      <c r="F23" s="2" t="s">
        <v>30</v>
      </c>
      <c r="G23" s="3" t="s">
        <v>35</v>
      </c>
    </row>
    <row r="24" customFormat="false" ht="15" hidden="false" customHeight="false" outlineLevel="0" collapsed="false">
      <c r="A24" s="2" t="s">
        <v>85</v>
      </c>
      <c r="B24" s="3" t="s">
        <v>44</v>
      </c>
      <c r="C24" s="3" t="s">
        <v>79</v>
      </c>
      <c r="D24" s="3" t="s">
        <v>86</v>
      </c>
      <c r="E24" s="2" t="s">
        <v>87</v>
      </c>
      <c r="F24" s="2" t="s">
        <v>88</v>
      </c>
      <c r="G24" s="3" t="s">
        <v>35</v>
      </c>
    </row>
    <row r="25" customFormat="false" ht="15" hidden="false" customHeight="false" outlineLevel="0" collapsed="false">
      <c r="A25" s="2" t="s">
        <v>89</v>
      </c>
      <c r="B25" s="3" t="s">
        <v>44</v>
      </c>
      <c r="C25" s="3" t="s">
        <v>79</v>
      </c>
      <c r="D25" s="3" t="s">
        <v>90</v>
      </c>
      <c r="E25" s="2" t="s">
        <v>91</v>
      </c>
      <c r="F25" s="2" t="s">
        <v>88</v>
      </c>
      <c r="G25" s="3" t="s">
        <v>35</v>
      </c>
    </row>
    <row r="26" customFormat="false" ht="15" hidden="false" customHeight="false" outlineLevel="0" collapsed="false">
      <c r="A26" s="2" t="s">
        <v>92</v>
      </c>
      <c r="B26" s="3" t="s">
        <v>44</v>
      </c>
      <c r="C26" s="3" t="s">
        <v>93</v>
      </c>
      <c r="D26" s="3" t="s">
        <v>94</v>
      </c>
      <c r="E26" s="2" t="s">
        <v>30</v>
      </c>
      <c r="F26" s="2" t="s">
        <v>30</v>
      </c>
      <c r="G26" s="3" t="s">
        <v>35</v>
      </c>
    </row>
    <row r="27" customFormat="false" ht="15" hidden="false" customHeight="false" outlineLevel="0" collapsed="false">
      <c r="A27" s="2" t="s">
        <v>95</v>
      </c>
      <c r="B27" s="3" t="s">
        <v>44</v>
      </c>
      <c r="C27" s="3" t="s">
        <v>93</v>
      </c>
      <c r="D27" s="3" t="s">
        <v>96</v>
      </c>
      <c r="E27" s="2" t="s">
        <v>97</v>
      </c>
      <c r="F27" s="2" t="s">
        <v>98</v>
      </c>
      <c r="G27" s="3" t="s">
        <v>99</v>
      </c>
    </row>
    <row r="28" customFormat="false" ht="15" hidden="false" customHeight="false" outlineLevel="0" collapsed="false">
      <c r="A28" s="2" t="s">
        <v>100</v>
      </c>
      <c r="B28" s="3" t="s">
        <v>44</v>
      </c>
      <c r="C28" s="3" t="s">
        <v>93</v>
      </c>
      <c r="D28" s="3" t="s">
        <v>101</v>
      </c>
      <c r="E28" s="2" t="s">
        <v>81</v>
      </c>
      <c r="F28" s="2" t="s">
        <v>81</v>
      </c>
      <c r="G28" s="3" t="s">
        <v>99</v>
      </c>
    </row>
    <row r="29" customFormat="false" ht="15" hidden="false" customHeight="false" outlineLevel="0" collapsed="false">
      <c r="A29" s="2" t="s">
        <v>102</v>
      </c>
      <c r="B29" s="3" t="s">
        <v>103</v>
      </c>
      <c r="C29" s="3" t="s">
        <v>104</v>
      </c>
      <c r="D29" s="3" t="s">
        <v>105</v>
      </c>
      <c r="E29" s="2" t="s">
        <v>106</v>
      </c>
      <c r="F29" s="2" t="s">
        <v>98</v>
      </c>
      <c r="G29" s="3" t="s">
        <v>42</v>
      </c>
    </row>
    <row r="30" customFormat="false" ht="15" hidden="false" customHeight="false" outlineLevel="0" collapsed="false">
      <c r="A30" s="2" t="s">
        <v>107</v>
      </c>
      <c r="B30" s="3" t="s">
        <v>103</v>
      </c>
      <c r="C30" s="3" t="s">
        <v>104</v>
      </c>
      <c r="D30" s="3" t="s">
        <v>108</v>
      </c>
      <c r="E30" s="2" t="s">
        <v>106</v>
      </c>
      <c r="F30" s="2" t="s">
        <v>98</v>
      </c>
      <c r="G30" s="3" t="s">
        <v>42</v>
      </c>
    </row>
    <row r="31" customFormat="false" ht="15" hidden="false" customHeight="false" outlineLevel="0" collapsed="false">
      <c r="A31" s="2" t="s">
        <v>109</v>
      </c>
      <c r="B31" s="3" t="s">
        <v>103</v>
      </c>
      <c r="C31" s="3" t="s">
        <v>110</v>
      </c>
      <c r="D31" s="3" t="s">
        <v>111</v>
      </c>
      <c r="E31" s="2" t="s">
        <v>112</v>
      </c>
      <c r="F31" s="2" t="s">
        <v>113</v>
      </c>
      <c r="G31" s="3" t="s">
        <v>13</v>
      </c>
    </row>
    <row r="32" customFormat="false" ht="15" hidden="false" customHeight="false" outlineLevel="0" collapsed="false">
      <c r="A32" s="2" t="s">
        <v>114</v>
      </c>
      <c r="B32" s="3" t="s">
        <v>103</v>
      </c>
      <c r="C32" s="3" t="s">
        <v>110</v>
      </c>
      <c r="D32" s="3" t="s">
        <v>115</v>
      </c>
      <c r="E32" s="2" t="s">
        <v>112</v>
      </c>
      <c r="F32" s="2" t="s">
        <v>113</v>
      </c>
      <c r="G32" s="3" t="s">
        <v>13</v>
      </c>
    </row>
    <row r="33" customFormat="false" ht="15" hidden="false" customHeight="false" outlineLevel="0" collapsed="false">
      <c r="A33" s="2" t="s">
        <v>116</v>
      </c>
      <c r="B33" s="3" t="s">
        <v>103</v>
      </c>
      <c r="C33" s="3" t="s">
        <v>110</v>
      </c>
      <c r="D33" s="3" t="s">
        <v>117</v>
      </c>
      <c r="E33" s="2" t="s">
        <v>112</v>
      </c>
      <c r="F33" s="2" t="s">
        <v>113</v>
      </c>
      <c r="G33" s="3" t="s">
        <v>13</v>
      </c>
    </row>
    <row r="34" customFormat="false" ht="15" hidden="false" customHeight="false" outlineLevel="0" collapsed="false">
      <c r="A34" s="2" t="s">
        <v>118</v>
      </c>
      <c r="B34" s="3" t="s">
        <v>103</v>
      </c>
      <c r="C34" s="3" t="s">
        <v>119</v>
      </c>
      <c r="D34" s="3" t="s">
        <v>120</v>
      </c>
      <c r="E34" s="2" t="s">
        <v>121</v>
      </c>
      <c r="F34" s="2" t="s">
        <v>113</v>
      </c>
      <c r="G34" s="3" t="s">
        <v>99</v>
      </c>
    </row>
    <row r="35" customFormat="false" ht="15" hidden="false" customHeight="false" outlineLevel="0" collapsed="false">
      <c r="A35" s="2" t="s">
        <v>122</v>
      </c>
      <c r="B35" s="3" t="s">
        <v>103</v>
      </c>
      <c r="C35" s="3" t="s">
        <v>119</v>
      </c>
      <c r="D35" s="3" t="s">
        <v>123</v>
      </c>
      <c r="E35" s="2" t="s">
        <v>124</v>
      </c>
      <c r="F35" s="2" t="s">
        <v>113</v>
      </c>
      <c r="G35" s="3" t="s">
        <v>125</v>
      </c>
    </row>
    <row r="36" customFormat="false" ht="15" hidden="false" customHeight="false" outlineLevel="0" collapsed="false">
      <c r="A36" s="2" t="s">
        <v>126</v>
      </c>
      <c r="B36" s="3" t="s">
        <v>103</v>
      </c>
      <c r="C36" s="3" t="s">
        <v>119</v>
      </c>
      <c r="D36" s="3" t="s">
        <v>127</v>
      </c>
      <c r="E36" s="2" t="s">
        <v>128</v>
      </c>
      <c r="F36" s="2" t="s">
        <v>113</v>
      </c>
      <c r="G36" s="3" t="s">
        <v>99</v>
      </c>
    </row>
    <row r="37" customFormat="false" ht="15" hidden="false" customHeight="false" outlineLevel="0" collapsed="false">
      <c r="A37" s="2" t="s">
        <v>129</v>
      </c>
      <c r="B37" s="3" t="s">
        <v>103</v>
      </c>
      <c r="C37" s="3" t="s">
        <v>130</v>
      </c>
      <c r="D37" s="3" t="s">
        <v>131</v>
      </c>
      <c r="E37" s="2" t="s">
        <v>113</v>
      </c>
      <c r="F37" s="2" t="s">
        <v>113</v>
      </c>
      <c r="G37" s="3" t="s">
        <v>132</v>
      </c>
    </row>
    <row r="38" customFormat="false" ht="15" hidden="false" customHeight="false" outlineLevel="0" collapsed="false">
      <c r="A38" s="2" t="s">
        <v>133</v>
      </c>
      <c r="B38" s="3" t="s">
        <v>103</v>
      </c>
      <c r="C38" s="3" t="s">
        <v>130</v>
      </c>
      <c r="D38" s="3" t="s">
        <v>134</v>
      </c>
      <c r="E38" s="2" t="s">
        <v>113</v>
      </c>
      <c r="F38" s="2" t="s">
        <v>113</v>
      </c>
      <c r="G38" s="3" t="s">
        <v>99</v>
      </c>
    </row>
    <row r="39" customFormat="false" ht="15" hidden="false" customHeight="false" outlineLevel="0" collapsed="false">
      <c r="A39" s="2" t="s">
        <v>135</v>
      </c>
      <c r="B39" s="3" t="s">
        <v>136</v>
      </c>
      <c r="C39" s="3" t="s">
        <v>137</v>
      </c>
      <c r="D39" s="3" t="s">
        <v>138</v>
      </c>
      <c r="E39" s="2" t="s">
        <v>139</v>
      </c>
      <c r="F39" s="2" t="s">
        <v>140</v>
      </c>
      <c r="G39" s="3" t="s">
        <v>141</v>
      </c>
    </row>
    <row r="40" customFormat="false" ht="15" hidden="false" customHeight="false" outlineLevel="0" collapsed="false">
      <c r="A40" s="2" t="s">
        <v>142</v>
      </c>
      <c r="B40" s="3" t="s">
        <v>136</v>
      </c>
      <c r="C40" s="3" t="s">
        <v>137</v>
      </c>
      <c r="D40" s="3" t="s">
        <v>143</v>
      </c>
      <c r="E40" s="2" t="s">
        <v>139</v>
      </c>
      <c r="F40" s="2" t="s">
        <v>140</v>
      </c>
      <c r="G40" s="3" t="s">
        <v>141</v>
      </c>
    </row>
    <row r="41" customFormat="false" ht="15" hidden="false" customHeight="false" outlineLevel="0" collapsed="false">
      <c r="A41" s="2" t="s">
        <v>144</v>
      </c>
      <c r="B41" s="3" t="s">
        <v>136</v>
      </c>
      <c r="C41" s="3" t="s">
        <v>137</v>
      </c>
      <c r="D41" s="3" t="s">
        <v>145</v>
      </c>
      <c r="E41" s="2" t="s">
        <v>146</v>
      </c>
      <c r="F41" s="2" t="s">
        <v>140</v>
      </c>
      <c r="G41" s="3" t="s">
        <v>141</v>
      </c>
    </row>
    <row r="42" customFormat="false" ht="15" hidden="false" customHeight="false" outlineLevel="0" collapsed="false">
      <c r="A42" s="2" t="s">
        <v>147</v>
      </c>
      <c r="B42" s="3" t="s">
        <v>136</v>
      </c>
      <c r="C42" s="3" t="s">
        <v>148</v>
      </c>
      <c r="D42" s="3" t="s">
        <v>149</v>
      </c>
      <c r="E42" s="2" t="s">
        <v>150</v>
      </c>
      <c r="F42" s="2" t="s">
        <v>140</v>
      </c>
      <c r="G42" s="3" t="s">
        <v>151</v>
      </c>
    </row>
    <row r="43" customFormat="false" ht="15" hidden="false" customHeight="false" outlineLevel="0" collapsed="false">
      <c r="A43" s="2" t="s">
        <v>152</v>
      </c>
      <c r="B43" s="3" t="s">
        <v>136</v>
      </c>
      <c r="C43" s="3" t="s">
        <v>148</v>
      </c>
      <c r="D43" s="3" t="s">
        <v>153</v>
      </c>
      <c r="E43" s="2" t="s">
        <v>154</v>
      </c>
      <c r="F43" s="2" t="s">
        <v>154</v>
      </c>
      <c r="G43" s="3" t="s">
        <v>151</v>
      </c>
    </row>
    <row r="44" customFormat="false" ht="15" hidden="false" customHeight="false" outlineLevel="0" collapsed="false">
      <c r="A44" s="2" t="s">
        <v>155</v>
      </c>
      <c r="B44" s="3" t="s">
        <v>136</v>
      </c>
      <c r="C44" s="3" t="s">
        <v>148</v>
      </c>
      <c r="D44" s="3" t="s">
        <v>156</v>
      </c>
      <c r="E44" s="2" t="s">
        <v>154</v>
      </c>
      <c r="F44" s="2" t="s">
        <v>154</v>
      </c>
      <c r="G44" s="3" t="s">
        <v>151</v>
      </c>
    </row>
    <row r="45" customFormat="false" ht="15" hidden="false" customHeight="false" outlineLevel="0" collapsed="false">
      <c r="A45" s="2" t="s">
        <v>157</v>
      </c>
      <c r="B45" s="3" t="s">
        <v>136</v>
      </c>
      <c r="C45" s="3" t="s">
        <v>158</v>
      </c>
      <c r="D45" s="3" t="s">
        <v>159</v>
      </c>
      <c r="E45" s="2" t="s">
        <v>160</v>
      </c>
      <c r="F45" s="2" t="s">
        <v>140</v>
      </c>
      <c r="G45" s="3" t="s">
        <v>161</v>
      </c>
    </row>
    <row r="46" customFormat="false" ht="15" hidden="false" customHeight="false" outlineLevel="0" collapsed="false">
      <c r="A46" s="2" t="s">
        <v>162</v>
      </c>
      <c r="B46" s="3" t="s">
        <v>136</v>
      </c>
      <c r="C46" s="3" t="s">
        <v>158</v>
      </c>
      <c r="D46" s="3" t="s">
        <v>163</v>
      </c>
      <c r="E46" s="2" t="s">
        <v>160</v>
      </c>
      <c r="F46" s="2" t="s">
        <v>140</v>
      </c>
      <c r="G46" s="3" t="s">
        <v>161</v>
      </c>
    </row>
    <row r="47" customFormat="false" ht="15" hidden="false" customHeight="false" outlineLevel="0" collapsed="false">
      <c r="A47" s="2" t="s">
        <v>164</v>
      </c>
      <c r="B47" s="3" t="s">
        <v>136</v>
      </c>
      <c r="C47" s="3" t="s">
        <v>158</v>
      </c>
      <c r="D47" s="3" t="s">
        <v>165</v>
      </c>
      <c r="E47" s="2" t="s">
        <v>166</v>
      </c>
      <c r="F47" s="2" t="s">
        <v>166</v>
      </c>
      <c r="G47" s="3" t="s">
        <v>161</v>
      </c>
    </row>
    <row r="48" customFormat="false" ht="15" hidden="false" customHeight="false" outlineLevel="0" collapsed="false">
      <c r="A48" s="2" t="s">
        <v>167</v>
      </c>
      <c r="B48" s="3" t="s">
        <v>136</v>
      </c>
      <c r="C48" s="3" t="s">
        <v>168</v>
      </c>
      <c r="D48" s="3" t="s">
        <v>169</v>
      </c>
      <c r="E48" s="2" t="s">
        <v>170</v>
      </c>
      <c r="F48" s="2" t="s">
        <v>140</v>
      </c>
      <c r="G48" s="3" t="s">
        <v>171</v>
      </c>
    </row>
    <row r="49" customFormat="false" ht="15" hidden="false" customHeight="false" outlineLevel="0" collapsed="false">
      <c r="A49" s="2" t="s">
        <v>172</v>
      </c>
      <c r="B49" s="3" t="s">
        <v>136</v>
      </c>
      <c r="C49" s="3" t="s">
        <v>168</v>
      </c>
      <c r="D49" s="3" t="s">
        <v>173</v>
      </c>
      <c r="E49" s="2" t="s">
        <v>170</v>
      </c>
      <c r="F49" s="2" t="s">
        <v>140</v>
      </c>
      <c r="G49" s="3" t="s">
        <v>171</v>
      </c>
    </row>
    <row r="50" customFormat="false" ht="15" hidden="false" customHeight="false" outlineLevel="0" collapsed="false">
      <c r="A50" s="2" t="s">
        <v>174</v>
      </c>
      <c r="B50" s="3" t="s">
        <v>136</v>
      </c>
      <c r="C50" s="3" t="s">
        <v>168</v>
      </c>
      <c r="D50" s="3" t="s">
        <v>175</v>
      </c>
      <c r="E50" s="2" t="s">
        <v>176</v>
      </c>
      <c r="F50" s="2" t="s">
        <v>154</v>
      </c>
      <c r="G50" s="3" t="s">
        <v>171</v>
      </c>
    </row>
    <row r="51" customFormat="false" ht="15" hidden="false" customHeight="false" outlineLevel="0" collapsed="false">
      <c r="A51" s="2" t="s">
        <v>177</v>
      </c>
      <c r="B51" s="3" t="s">
        <v>136</v>
      </c>
      <c r="C51" s="3" t="s">
        <v>178</v>
      </c>
      <c r="D51" s="3" t="s">
        <v>179</v>
      </c>
      <c r="E51" s="2" t="s">
        <v>180</v>
      </c>
      <c r="F51" s="2" t="s">
        <v>98</v>
      </c>
      <c r="G51" s="3" t="s">
        <v>181</v>
      </c>
    </row>
    <row r="52" customFormat="false" ht="15" hidden="false" customHeight="false" outlineLevel="0" collapsed="false">
      <c r="A52" s="2" t="s">
        <v>182</v>
      </c>
      <c r="B52" s="3" t="s">
        <v>136</v>
      </c>
      <c r="C52" s="3" t="s">
        <v>178</v>
      </c>
      <c r="D52" s="3" t="s">
        <v>183</v>
      </c>
      <c r="E52" s="2" t="s">
        <v>139</v>
      </c>
      <c r="F52" s="2" t="s">
        <v>140</v>
      </c>
      <c r="G52" s="3" t="s">
        <v>181</v>
      </c>
    </row>
    <row r="53" customFormat="false" ht="15" hidden="false" customHeight="false" outlineLevel="0" collapsed="false">
      <c r="A53" s="2" t="s">
        <v>184</v>
      </c>
      <c r="B53" s="3" t="s">
        <v>185</v>
      </c>
      <c r="C53" s="3" t="s">
        <v>186</v>
      </c>
      <c r="D53" s="3" t="s">
        <v>187</v>
      </c>
      <c r="E53" s="2" t="s">
        <v>188</v>
      </c>
      <c r="F53" s="2" t="s">
        <v>189</v>
      </c>
      <c r="G53" s="3" t="s">
        <v>13</v>
      </c>
    </row>
    <row r="54" customFormat="false" ht="15" hidden="false" customHeight="false" outlineLevel="0" collapsed="false">
      <c r="A54" s="2" t="s">
        <v>190</v>
      </c>
      <c r="B54" s="3" t="s">
        <v>185</v>
      </c>
      <c r="C54" s="3" t="s">
        <v>186</v>
      </c>
      <c r="D54" s="3" t="s">
        <v>191</v>
      </c>
      <c r="E54" s="2" t="s">
        <v>192</v>
      </c>
      <c r="F54" s="2" t="s">
        <v>189</v>
      </c>
      <c r="G54" s="3" t="s">
        <v>193</v>
      </c>
    </row>
    <row r="55" customFormat="false" ht="15" hidden="false" customHeight="false" outlineLevel="0" collapsed="false">
      <c r="A55" s="2" t="s">
        <v>194</v>
      </c>
      <c r="B55" s="3" t="s">
        <v>185</v>
      </c>
      <c r="C55" s="3" t="s">
        <v>186</v>
      </c>
      <c r="D55" s="3" t="s">
        <v>195</v>
      </c>
      <c r="E55" s="2" t="s">
        <v>192</v>
      </c>
      <c r="F55" s="2" t="s">
        <v>189</v>
      </c>
      <c r="G55" s="3" t="s">
        <v>193</v>
      </c>
    </row>
    <row r="56" customFormat="false" ht="15" hidden="false" customHeight="false" outlineLevel="0" collapsed="false">
      <c r="A56" s="2" t="s">
        <v>196</v>
      </c>
      <c r="B56" s="3" t="s">
        <v>185</v>
      </c>
      <c r="C56" s="3" t="s">
        <v>197</v>
      </c>
      <c r="D56" s="3" t="s">
        <v>198</v>
      </c>
      <c r="E56" s="2" t="s">
        <v>199</v>
      </c>
      <c r="F56" s="2" t="s">
        <v>189</v>
      </c>
      <c r="G56" s="3" t="s">
        <v>151</v>
      </c>
    </row>
    <row r="57" customFormat="false" ht="15" hidden="false" customHeight="false" outlineLevel="0" collapsed="false">
      <c r="A57" s="2" t="s">
        <v>200</v>
      </c>
      <c r="B57" s="3" t="s">
        <v>185</v>
      </c>
      <c r="C57" s="3" t="s">
        <v>197</v>
      </c>
      <c r="D57" s="3" t="s">
        <v>201</v>
      </c>
      <c r="E57" s="2" t="s">
        <v>199</v>
      </c>
      <c r="F57" s="2" t="s">
        <v>189</v>
      </c>
      <c r="G57" s="3" t="s">
        <v>193</v>
      </c>
    </row>
    <row r="58" customFormat="false" ht="15" hidden="false" customHeight="false" outlineLevel="0" collapsed="false">
      <c r="A58" s="2" t="s">
        <v>202</v>
      </c>
      <c r="B58" s="3" t="s">
        <v>185</v>
      </c>
      <c r="C58" s="3" t="s">
        <v>197</v>
      </c>
      <c r="D58" s="3" t="s">
        <v>203</v>
      </c>
      <c r="E58" s="2" t="s">
        <v>199</v>
      </c>
      <c r="F58" s="2" t="s">
        <v>189</v>
      </c>
      <c r="G58" s="3" t="s">
        <v>13</v>
      </c>
    </row>
    <row r="59" customFormat="false" ht="15" hidden="false" customHeight="false" outlineLevel="0" collapsed="false">
      <c r="A59" s="2" t="s">
        <v>204</v>
      </c>
      <c r="B59" s="3" t="s">
        <v>185</v>
      </c>
      <c r="C59" s="3" t="s">
        <v>205</v>
      </c>
      <c r="D59" s="3" t="s">
        <v>206</v>
      </c>
      <c r="E59" s="2" t="s">
        <v>207</v>
      </c>
      <c r="F59" s="2" t="s">
        <v>47</v>
      </c>
      <c r="G59" s="3" t="s">
        <v>193</v>
      </c>
    </row>
    <row r="60" customFormat="false" ht="15" hidden="false" customHeight="false" outlineLevel="0" collapsed="false">
      <c r="A60" s="2" t="s">
        <v>208</v>
      </c>
      <c r="B60" s="3" t="s">
        <v>185</v>
      </c>
      <c r="C60" s="3" t="s">
        <v>205</v>
      </c>
      <c r="D60" s="3" t="s">
        <v>209</v>
      </c>
      <c r="E60" s="2" t="s">
        <v>207</v>
      </c>
      <c r="F60" s="2" t="s">
        <v>47</v>
      </c>
      <c r="G60" s="3" t="s">
        <v>193</v>
      </c>
    </row>
    <row r="61" customFormat="false" ht="15" hidden="false" customHeight="false" outlineLevel="0" collapsed="false">
      <c r="A61" s="2" t="s">
        <v>210</v>
      </c>
      <c r="B61" s="3" t="s">
        <v>185</v>
      </c>
      <c r="C61" s="3" t="s">
        <v>205</v>
      </c>
      <c r="D61" s="3" t="s">
        <v>211</v>
      </c>
      <c r="E61" s="2" t="s">
        <v>207</v>
      </c>
      <c r="F61" s="2" t="s">
        <v>47</v>
      </c>
      <c r="G61" s="3" t="s">
        <v>193</v>
      </c>
    </row>
    <row r="62" customFormat="false" ht="15" hidden="false" customHeight="false" outlineLevel="0" collapsed="false">
      <c r="A62" s="2" t="s">
        <v>212</v>
      </c>
      <c r="B62" s="3" t="s">
        <v>185</v>
      </c>
      <c r="C62" s="3" t="s">
        <v>213</v>
      </c>
      <c r="D62" s="3" t="s">
        <v>214</v>
      </c>
      <c r="E62" s="2" t="s">
        <v>215</v>
      </c>
      <c r="F62" s="2" t="s">
        <v>215</v>
      </c>
      <c r="G62" s="3" t="s">
        <v>13</v>
      </c>
    </row>
    <row r="63" customFormat="false" ht="15" hidden="false" customHeight="false" outlineLevel="0" collapsed="false">
      <c r="A63" s="2" t="s">
        <v>216</v>
      </c>
      <c r="B63" s="3" t="s">
        <v>185</v>
      </c>
      <c r="C63" s="3" t="s">
        <v>213</v>
      </c>
      <c r="D63" s="3" t="s">
        <v>217</v>
      </c>
      <c r="E63" s="2" t="s">
        <v>218</v>
      </c>
      <c r="F63" s="2" t="s">
        <v>166</v>
      </c>
      <c r="G63" s="3" t="s">
        <v>181</v>
      </c>
    </row>
    <row r="64" customFormat="false" ht="15" hidden="false" customHeight="false" outlineLevel="0" collapsed="false">
      <c r="A64" s="2" t="s">
        <v>219</v>
      </c>
      <c r="B64" s="3" t="s">
        <v>220</v>
      </c>
      <c r="C64" s="3" t="s">
        <v>221</v>
      </c>
      <c r="D64" s="3" t="s">
        <v>222</v>
      </c>
      <c r="E64" s="2" t="s">
        <v>223</v>
      </c>
      <c r="F64" s="2" t="s">
        <v>224</v>
      </c>
      <c r="G64" s="3" t="s">
        <v>13</v>
      </c>
    </row>
    <row r="65" customFormat="false" ht="15" hidden="false" customHeight="false" outlineLevel="0" collapsed="false">
      <c r="A65" s="2" t="s">
        <v>225</v>
      </c>
      <c r="B65" s="3" t="s">
        <v>220</v>
      </c>
      <c r="C65" s="3" t="s">
        <v>221</v>
      </c>
      <c r="D65" s="3" t="s">
        <v>226</v>
      </c>
      <c r="E65" s="2" t="s">
        <v>227</v>
      </c>
      <c r="F65" s="2" t="s">
        <v>224</v>
      </c>
      <c r="G65" s="3" t="s">
        <v>13</v>
      </c>
    </row>
    <row r="66" customFormat="false" ht="15" hidden="false" customHeight="false" outlineLevel="0" collapsed="false">
      <c r="A66" s="2" t="s">
        <v>228</v>
      </c>
      <c r="B66" s="3" t="s">
        <v>220</v>
      </c>
      <c r="C66" s="3" t="s">
        <v>221</v>
      </c>
      <c r="D66" s="3" t="s">
        <v>229</v>
      </c>
      <c r="E66" s="2" t="s">
        <v>230</v>
      </c>
      <c r="F66" s="2" t="s">
        <v>224</v>
      </c>
      <c r="G66" s="3" t="s">
        <v>13</v>
      </c>
    </row>
    <row r="67" customFormat="false" ht="23.85" hidden="false" customHeight="false" outlineLevel="0" collapsed="false">
      <c r="A67" s="2" t="s">
        <v>231</v>
      </c>
      <c r="B67" s="3" t="s">
        <v>220</v>
      </c>
      <c r="C67" s="3" t="s">
        <v>232</v>
      </c>
      <c r="D67" s="3" t="s">
        <v>233</v>
      </c>
      <c r="E67" s="2" t="s">
        <v>234</v>
      </c>
      <c r="F67" s="2" t="s">
        <v>224</v>
      </c>
      <c r="G67" s="3" t="s">
        <v>141</v>
      </c>
    </row>
    <row r="68" customFormat="false" ht="23.85" hidden="false" customHeight="false" outlineLevel="0" collapsed="false">
      <c r="A68" s="2" t="s">
        <v>235</v>
      </c>
      <c r="B68" s="3" t="s">
        <v>220</v>
      </c>
      <c r="C68" s="3" t="s">
        <v>232</v>
      </c>
      <c r="D68" s="3" t="s">
        <v>236</v>
      </c>
      <c r="E68" s="2" t="s">
        <v>237</v>
      </c>
      <c r="F68" s="2" t="s">
        <v>224</v>
      </c>
      <c r="G68" s="3" t="s">
        <v>141</v>
      </c>
    </row>
    <row r="69" customFormat="false" ht="23.85" hidden="false" customHeight="false" outlineLevel="0" collapsed="false">
      <c r="A69" s="2" t="s">
        <v>238</v>
      </c>
      <c r="B69" s="3" t="s">
        <v>220</v>
      </c>
      <c r="C69" s="3" t="s">
        <v>232</v>
      </c>
      <c r="D69" s="3" t="s">
        <v>239</v>
      </c>
      <c r="E69" s="2" t="s">
        <v>240</v>
      </c>
      <c r="F69" s="2" t="s">
        <v>88</v>
      </c>
      <c r="G69" s="3" t="s">
        <v>161</v>
      </c>
    </row>
    <row r="70" customFormat="false" ht="15" hidden="false" customHeight="false" outlineLevel="0" collapsed="false">
      <c r="A70" s="2" t="s">
        <v>241</v>
      </c>
      <c r="B70" s="3" t="s">
        <v>220</v>
      </c>
      <c r="C70" s="3" t="s">
        <v>242</v>
      </c>
      <c r="D70" s="3" t="s">
        <v>243</v>
      </c>
      <c r="E70" s="2" t="s">
        <v>244</v>
      </c>
      <c r="F70" s="2" t="s">
        <v>98</v>
      </c>
      <c r="G70" s="3" t="s">
        <v>181</v>
      </c>
    </row>
    <row r="71" customFormat="false" ht="15" hidden="false" customHeight="false" outlineLevel="0" collapsed="false">
      <c r="A71" s="2" t="s">
        <v>245</v>
      </c>
      <c r="B71" s="3" t="s">
        <v>220</v>
      </c>
      <c r="C71" s="3" t="s">
        <v>242</v>
      </c>
      <c r="D71" s="3" t="s">
        <v>246</v>
      </c>
      <c r="E71" s="2" t="s">
        <v>244</v>
      </c>
      <c r="F71" s="2" t="s">
        <v>98</v>
      </c>
      <c r="G71" s="3" t="s">
        <v>181</v>
      </c>
    </row>
    <row r="72" customFormat="false" ht="15" hidden="false" customHeight="false" outlineLevel="0" collapsed="false">
      <c r="A72" s="2" t="s">
        <v>247</v>
      </c>
      <c r="B72" s="3" t="s">
        <v>220</v>
      </c>
      <c r="C72" s="3" t="s">
        <v>248</v>
      </c>
      <c r="D72" s="3" t="s">
        <v>249</v>
      </c>
      <c r="E72" s="2" t="s">
        <v>250</v>
      </c>
      <c r="F72" s="2" t="s">
        <v>224</v>
      </c>
      <c r="G72" s="3" t="s">
        <v>251</v>
      </c>
    </row>
    <row r="73" customFormat="false" ht="15" hidden="false" customHeight="false" outlineLevel="0" collapsed="false">
      <c r="A73" s="2" t="s">
        <v>252</v>
      </c>
      <c r="B73" s="3" t="s">
        <v>220</v>
      </c>
      <c r="C73" s="3" t="s">
        <v>248</v>
      </c>
      <c r="D73" s="3" t="s">
        <v>253</v>
      </c>
      <c r="E73" s="2" t="s">
        <v>254</v>
      </c>
      <c r="F73" s="2" t="s">
        <v>255</v>
      </c>
      <c r="G73" s="3" t="s">
        <v>13</v>
      </c>
    </row>
    <row r="74" customFormat="false" ht="15" hidden="false" customHeight="false" outlineLevel="0" collapsed="false">
      <c r="A74" s="2" t="s">
        <v>256</v>
      </c>
      <c r="B74" s="3" t="s">
        <v>257</v>
      </c>
      <c r="C74" s="3" t="s">
        <v>258</v>
      </c>
      <c r="D74" s="3" t="s">
        <v>259</v>
      </c>
      <c r="E74" s="2" t="s">
        <v>260</v>
      </c>
      <c r="F74" s="2" t="s">
        <v>261</v>
      </c>
      <c r="G74" s="3" t="s">
        <v>262</v>
      </c>
    </row>
    <row r="75" customFormat="false" ht="15" hidden="false" customHeight="false" outlineLevel="0" collapsed="false">
      <c r="A75" s="2" t="s">
        <v>263</v>
      </c>
      <c r="B75" s="3" t="s">
        <v>257</v>
      </c>
      <c r="C75" s="3" t="s">
        <v>258</v>
      </c>
      <c r="D75" s="3" t="s">
        <v>264</v>
      </c>
      <c r="E75" s="2" t="s">
        <v>265</v>
      </c>
      <c r="F75" s="2" t="s">
        <v>261</v>
      </c>
      <c r="G75" s="3" t="s">
        <v>262</v>
      </c>
    </row>
    <row r="76" customFormat="false" ht="15" hidden="false" customHeight="false" outlineLevel="0" collapsed="false">
      <c r="A76" s="2" t="s">
        <v>266</v>
      </c>
      <c r="B76" s="3" t="s">
        <v>257</v>
      </c>
      <c r="C76" s="3" t="s">
        <v>258</v>
      </c>
      <c r="D76" s="3" t="s">
        <v>267</v>
      </c>
      <c r="E76" s="2" t="s">
        <v>268</v>
      </c>
      <c r="F76" s="2" t="s">
        <v>261</v>
      </c>
      <c r="G76" s="3" t="s">
        <v>99</v>
      </c>
    </row>
    <row r="77" customFormat="false" ht="15" hidden="false" customHeight="false" outlineLevel="0" collapsed="false">
      <c r="A77" s="2" t="s">
        <v>269</v>
      </c>
      <c r="B77" s="3" t="s">
        <v>257</v>
      </c>
      <c r="C77" s="3" t="s">
        <v>270</v>
      </c>
      <c r="D77" s="3" t="s">
        <v>271</v>
      </c>
      <c r="E77" s="2" t="s">
        <v>272</v>
      </c>
      <c r="F77" s="2" t="s">
        <v>273</v>
      </c>
      <c r="G77" s="3" t="s">
        <v>274</v>
      </c>
    </row>
    <row r="78" customFormat="false" ht="15" hidden="false" customHeight="false" outlineLevel="0" collapsed="false">
      <c r="A78" s="2" t="s">
        <v>275</v>
      </c>
      <c r="B78" s="3" t="s">
        <v>257</v>
      </c>
      <c r="C78" s="3" t="s">
        <v>270</v>
      </c>
      <c r="D78" s="3" t="s">
        <v>276</v>
      </c>
      <c r="E78" s="2" t="s">
        <v>277</v>
      </c>
      <c r="F78" s="2" t="s">
        <v>273</v>
      </c>
      <c r="G78" s="3" t="s">
        <v>18</v>
      </c>
    </row>
    <row r="79" customFormat="false" ht="15" hidden="false" customHeight="false" outlineLevel="0" collapsed="false">
      <c r="A79" s="2" t="s">
        <v>278</v>
      </c>
      <c r="B79" s="3" t="s">
        <v>257</v>
      </c>
      <c r="C79" s="3" t="s">
        <v>279</v>
      </c>
      <c r="D79" s="3" t="s">
        <v>280</v>
      </c>
      <c r="E79" s="2" t="s">
        <v>281</v>
      </c>
      <c r="F79" s="2" t="s">
        <v>281</v>
      </c>
      <c r="G79" s="3" t="s">
        <v>13</v>
      </c>
    </row>
    <row r="80" customFormat="false" ht="15" hidden="false" customHeight="false" outlineLevel="0" collapsed="false">
      <c r="A80" s="2" t="s">
        <v>282</v>
      </c>
      <c r="B80" s="3" t="s">
        <v>257</v>
      </c>
      <c r="C80" s="3" t="s">
        <v>279</v>
      </c>
      <c r="D80" s="3" t="s">
        <v>283</v>
      </c>
      <c r="E80" s="2" t="s">
        <v>284</v>
      </c>
      <c r="F80" s="2" t="s">
        <v>224</v>
      </c>
      <c r="G80" s="3" t="s">
        <v>13</v>
      </c>
    </row>
    <row r="81" customFormat="false" ht="15" hidden="false" customHeight="false" outlineLevel="0" collapsed="false">
      <c r="A81" s="2" t="s">
        <v>285</v>
      </c>
      <c r="B81" s="3" t="s">
        <v>257</v>
      </c>
      <c r="C81" s="3" t="s">
        <v>286</v>
      </c>
      <c r="D81" s="3" t="s">
        <v>287</v>
      </c>
      <c r="E81" s="2" t="s">
        <v>288</v>
      </c>
      <c r="F81" s="2" t="s">
        <v>255</v>
      </c>
      <c r="G81" s="3" t="s">
        <v>99</v>
      </c>
    </row>
    <row r="82" customFormat="false" ht="15" hidden="false" customHeight="false" outlineLevel="0" collapsed="false">
      <c r="A82" s="2" t="s">
        <v>289</v>
      </c>
      <c r="B82" s="3" t="s">
        <v>257</v>
      </c>
      <c r="C82" s="3" t="s">
        <v>286</v>
      </c>
      <c r="D82" s="3" t="s">
        <v>290</v>
      </c>
      <c r="E82" s="2" t="s">
        <v>291</v>
      </c>
      <c r="F82" s="2" t="s">
        <v>255</v>
      </c>
      <c r="G82" s="3" t="s">
        <v>99</v>
      </c>
    </row>
  </sheetData>
  <autoFilter ref="A1:G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5" min="3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292</v>
      </c>
      <c r="D1" s="1" t="s">
        <v>293</v>
      </c>
      <c r="E1" s="1" t="s">
        <v>294</v>
      </c>
    </row>
    <row r="2" customFormat="false" ht="15" hidden="false" customHeight="false" outlineLevel="0" collapsed="false">
      <c r="A2" s="2" t="s">
        <v>295</v>
      </c>
      <c r="B2" s="3" t="s">
        <v>8</v>
      </c>
      <c r="C2" s="2" t="n">
        <v>4</v>
      </c>
      <c r="D2" s="2" t="n">
        <f aca="false">COUNTIF('Capability Register'!$B$2:$B$82,$B2)</f>
        <v>9</v>
      </c>
      <c r="E2" s="4" t="n">
        <f aca="false">IFERROR(D2/SUM($D$2:$D$8),0)</f>
        <v>0.111111111111111</v>
      </c>
    </row>
    <row r="3" customFormat="false" ht="15" hidden="false" customHeight="false" outlineLevel="0" collapsed="false">
      <c r="A3" s="2" t="s">
        <v>296</v>
      </c>
      <c r="B3" s="3" t="s">
        <v>44</v>
      </c>
      <c r="C3" s="2" t="n">
        <v>5</v>
      </c>
      <c r="D3" s="2" t="n">
        <f aca="false">COUNTIF('Capability Register'!$B$2:$B$82,$B3)</f>
        <v>18</v>
      </c>
      <c r="E3" s="4" t="n">
        <f aca="false">IFERROR(D3/SUM($D$2:$D$8),0)</f>
        <v>0.222222222222222</v>
      </c>
    </row>
    <row r="4" customFormat="false" ht="15" hidden="false" customHeight="false" outlineLevel="0" collapsed="false">
      <c r="A4" s="2" t="s">
        <v>297</v>
      </c>
      <c r="B4" s="3" t="s">
        <v>103</v>
      </c>
      <c r="C4" s="2" t="n">
        <v>4</v>
      </c>
      <c r="D4" s="2" t="n">
        <f aca="false">COUNTIF('Capability Register'!$B$2:$B$82,$B4)</f>
        <v>10</v>
      </c>
      <c r="E4" s="4" t="n">
        <f aca="false">IFERROR(D4/SUM($D$2:$D$8),0)</f>
        <v>0.123456790123457</v>
      </c>
    </row>
    <row r="5" customFormat="false" ht="15" hidden="false" customHeight="false" outlineLevel="0" collapsed="false">
      <c r="A5" s="2" t="s">
        <v>298</v>
      </c>
      <c r="B5" s="3" t="s">
        <v>136</v>
      </c>
      <c r="C5" s="2" t="n">
        <v>5</v>
      </c>
      <c r="D5" s="2" t="n">
        <f aca="false">COUNTIF('Capability Register'!$B$2:$B$82,$B5)</f>
        <v>14</v>
      </c>
      <c r="E5" s="4" t="n">
        <f aca="false">IFERROR(D5/SUM($D$2:$D$8),0)</f>
        <v>0.17283950617284</v>
      </c>
    </row>
    <row r="6" customFormat="false" ht="15" hidden="false" customHeight="false" outlineLevel="0" collapsed="false">
      <c r="A6" s="2" t="s">
        <v>299</v>
      </c>
      <c r="B6" s="3" t="s">
        <v>185</v>
      </c>
      <c r="C6" s="2" t="n">
        <v>4</v>
      </c>
      <c r="D6" s="2" t="n">
        <f aca="false">COUNTIF('Capability Register'!$B$2:$B$82,$B6)</f>
        <v>11</v>
      </c>
      <c r="E6" s="4" t="n">
        <f aca="false">IFERROR(D6/SUM($D$2:$D$8),0)</f>
        <v>0.135802469135802</v>
      </c>
    </row>
    <row r="7" customFormat="false" ht="15" hidden="false" customHeight="false" outlineLevel="0" collapsed="false">
      <c r="A7" s="2" t="s">
        <v>300</v>
      </c>
      <c r="B7" s="3" t="s">
        <v>220</v>
      </c>
      <c r="C7" s="2" t="n">
        <v>4</v>
      </c>
      <c r="D7" s="2" t="n">
        <f aca="false">COUNTIF('Capability Register'!$B$2:$B$82,$B7)</f>
        <v>10</v>
      </c>
      <c r="E7" s="4" t="n">
        <f aca="false">IFERROR(D7/SUM($D$2:$D$8),0)</f>
        <v>0.123456790123457</v>
      </c>
    </row>
    <row r="8" customFormat="false" ht="15" hidden="false" customHeight="false" outlineLevel="0" collapsed="false">
      <c r="A8" s="2" t="s">
        <v>301</v>
      </c>
      <c r="B8" s="3" t="s">
        <v>257</v>
      </c>
      <c r="C8" s="2" t="n">
        <v>4</v>
      </c>
      <c r="D8" s="2" t="n">
        <f aca="false">COUNTIF('Capability Register'!$B$2:$B$82,$B8)</f>
        <v>9</v>
      </c>
      <c r="E8" s="4" t="n">
        <f aca="false">IFERROR(D8/SUM($D$2:$D$8),0)</f>
        <v>0.111111111111111</v>
      </c>
    </row>
    <row r="9" customFormat="false" ht="15" hidden="false" customHeight="false" outlineLevel="0" collapsed="false">
      <c r="B9" s="5" t="s">
        <v>302</v>
      </c>
      <c r="C9" s="5" t="n">
        <f aca="false">SUM(C2:C8)</f>
        <v>30</v>
      </c>
      <c r="D9" s="5" t="n">
        <f aca="false">SUM(D2:D8)</f>
        <v>81</v>
      </c>
      <c r="E9" s="6" t="n">
        <f aca="false">SUM(E2:E8)</f>
        <v>1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293</v>
      </c>
    </row>
    <row r="2" customFormat="false" ht="15" hidden="false" customHeight="false" outlineLevel="0" collapsed="false">
      <c r="A2" s="2" t="s">
        <v>303</v>
      </c>
      <c r="B2" s="3" t="s">
        <v>8</v>
      </c>
      <c r="C2" s="3" t="s">
        <v>9</v>
      </c>
      <c r="D2" s="2" t="n">
        <f aca="false">COUNTIF('Capability Register'!$C$2:$C$82,$C2)</f>
        <v>3</v>
      </c>
    </row>
    <row r="3" customFormat="false" ht="15" hidden="false" customHeight="false" outlineLevel="0" collapsed="false">
      <c r="A3" s="2" t="s">
        <v>304</v>
      </c>
      <c r="B3" s="3" t="s">
        <v>8</v>
      </c>
      <c r="C3" s="3" t="s">
        <v>20</v>
      </c>
      <c r="D3" s="2" t="n">
        <f aca="false">COUNTIF('Capability Register'!$C$2:$C$82,$C3)</f>
        <v>2</v>
      </c>
    </row>
    <row r="4" customFormat="false" ht="15" hidden="false" customHeight="false" outlineLevel="0" collapsed="false">
      <c r="A4" s="2" t="s">
        <v>305</v>
      </c>
      <c r="B4" s="3" t="s">
        <v>8</v>
      </c>
      <c r="C4" s="3" t="s">
        <v>28</v>
      </c>
      <c r="D4" s="2" t="n">
        <f aca="false">COUNTIF('Capability Register'!$C$2:$C$82,$C4)</f>
        <v>2</v>
      </c>
    </row>
    <row r="5" customFormat="false" ht="15" hidden="false" customHeight="false" outlineLevel="0" collapsed="false">
      <c r="A5" s="2" t="s">
        <v>306</v>
      </c>
      <c r="B5" s="3" t="s">
        <v>8</v>
      </c>
      <c r="C5" s="3" t="s">
        <v>37</v>
      </c>
      <c r="D5" s="2" t="n">
        <f aca="false">COUNTIF('Capability Register'!$C$2:$C$82,$C5)</f>
        <v>2</v>
      </c>
    </row>
    <row r="6" customFormat="false" ht="15" hidden="false" customHeight="false" outlineLevel="0" collapsed="false">
      <c r="A6" s="2" t="s">
        <v>307</v>
      </c>
      <c r="B6" s="3" t="s">
        <v>44</v>
      </c>
      <c r="C6" s="3" t="s">
        <v>45</v>
      </c>
      <c r="D6" s="2" t="n">
        <f aca="false">COUNTIF('Capability Register'!$C$2:$C$82,$C6)</f>
        <v>3</v>
      </c>
    </row>
    <row r="7" customFormat="false" ht="15" hidden="false" customHeight="false" outlineLevel="0" collapsed="false">
      <c r="A7" s="2" t="s">
        <v>308</v>
      </c>
      <c r="B7" s="3" t="s">
        <v>44</v>
      </c>
      <c r="C7" s="3" t="s">
        <v>55</v>
      </c>
      <c r="D7" s="2" t="n">
        <f aca="false">COUNTIF('Capability Register'!$C$2:$C$82,$C7)</f>
        <v>2</v>
      </c>
    </row>
    <row r="8" customFormat="false" ht="15" hidden="false" customHeight="false" outlineLevel="0" collapsed="false">
      <c r="A8" s="2" t="s">
        <v>309</v>
      </c>
      <c r="B8" s="3" t="s">
        <v>44</v>
      </c>
      <c r="C8" s="3" t="s">
        <v>61</v>
      </c>
      <c r="D8" s="2" t="n">
        <f aca="false">COUNTIF('Capability Register'!$C$2:$C$82,$C8)</f>
        <v>6</v>
      </c>
    </row>
    <row r="9" customFormat="false" ht="15" hidden="false" customHeight="false" outlineLevel="0" collapsed="false">
      <c r="A9" s="2" t="s">
        <v>310</v>
      </c>
      <c r="B9" s="3" t="s">
        <v>44</v>
      </c>
      <c r="C9" s="3" t="s">
        <v>79</v>
      </c>
      <c r="D9" s="2" t="n">
        <f aca="false">COUNTIF('Capability Register'!$C$2:$C$82,$C9)</f>
        <v>4</v>
      </c>
    </row>
    <row r="10" customFormat="false" ht="15" hidden="false" customHeight="false" outlineLevel="0" collapsed="false">
      <c r="A10" s="2" t="s">
        <v>311</v>
      </c>
      <c r="B10" s="3" t="s">
        <v>44</v>
      </c>
      <c r="C10" s="3" t="s">
        <v>93</v>
      </c>
      <c r="D10" s="2" t="n">
        <f aca="false">COUNTIF('Capability Register'!$C$2:$C$82,$C10)</f>
        <v>3</v>
      </c>
    </row>
    <row r="11" customFormat="false" ht="15" hidden="false" customHeight="false" outlineLevel="0" collapsed="false">
      <c r="A11" s="2" t="s">
        <v>312</v>
      </c>
      <c r="B11" s="3" t="s">
        <v>103</v>
      </c>
      <c r="C11" s="3" t="s">
        <v>104</v>
      </c>
      <c r="D11" s="2" t="n">
        <f aca="false">COUNTIF('Capability Register'!$C$2:$C$82,$C11)</f>
        <v>2</v>
      </c>
    </row>
    <row r="12" customFormat="false" ht="15" hidden="false" customHeight="false" outlineLevel="0" collapsed="false">
      <c r="A12" s="2" t="s">
        <v>313</v>
      </c>
      <c r="B12" s="3" t="s">
        <v>103</v>
      </c>
      <c r="C12" s="3" t="s">
        <v>110</v>
      </c>
      <c r="D12" s="2" t="n">
        <f aca="false">COUNTIF('Capability Register'!$C$2:$C$82,$C12)</f>
        <v>3</v>
      </c>
    </row>
    <row r="13" customFormat="false" ht="15" hidden="false" customHeight="false" outlineLevel="0" collapsed="false">
      <c r="A13" s="2" t="s">
        <v>314</v>
      </c>
      <c r="B13" s="3" t="s">
        <v>103</v>
      </c>
      <c r="C13" s="3" t="s">
        <v>119</v>
      </c>
      <c r="D13" s="2" t="n">
        <f aca="false">COUNTIF('Capability Register'!$C$2:$C$82,$C13)</f>
        <v>3</v>
      </c>
    </row>
    <row r="14" customFormat="false" ht="15" hidden="false" customHeight="false" outlineLevel="0" collapsed="false">
      <c r="A14" s="2" t="s">
        <v>315</v>
      </c>
      <c r="B14" s="3" t="s">
        <v>103</v>
      </c>
      <c r="C14" s="3" t="s">
        <v>130</v>
      </c>
      <c r="D14" s="2" t="n">
        <f aca="false">COUNTIF('Capability Register'!$C$2:$C$82,$C14)</f>
        <v>2</v>
      </c>
    </row>
    <row r="15" customFormat="false" ht="15" hidden="false" customHeight="false" outlineLevel="0" collapsed="false">
      <c r="A15" s="2" t="s">
        <v>316</v>
      </c>
      <c r="B15" s="3" t="s">
        <v>136</v>
      </c>
      <c r="C15" s="3" t="s">
        <v>137</v>
      </c>
      <c r="D15" s="2" t="n">
        <f aca="false">COUNTIF('Capability Register'!$C$2:$C$82,$C15)</f>
        <v>3</v>
      </c>
    </row>
    <row r="16" customFormat="false" ht="15" hidden="false" customHeight="false" outlineLevel="0" collapsed="false">
      <c r="A16" s="2" t="s">
        <v>317</v>
      </c>
      <c r="B16" s="3" t="s">
        <v>136</v>
      </c>
      <c r="C16" s="3" t="s">
        <v>148</v>
      </c>
      <c r="D16" s="2" t="n">
        <f aca="false">COUNTIF('Capability Register'!$C$2:$C$82,$C16)</f>
        <v>3</v>
      </c>
    </row>
    <row r="17" customFormat="false" ht="15" hidden="false" customHeight="false" outlineLevel="0" collapsed="false">
      <c r="A17" s="2" t="s">
        <v>318</v>
      </c>
      <c r="B17" s="3" t="s">
        <v>136</v>
      </c>
      <c r="C17" s="3" t="s">
        <v>158</v>
      </c>
      <c r="D17" s="2" t="n">
        <f aca="false">COUNTIF('Capability Register'!$C$2:$C$82,$C17)</f>
        <v>3</v>
      </c>
    </row>
    <row r="18" customFormat="false" ht="15" hidden="false" customHeight="false" outlineLevel="0" collapsed="false">
      <c r="A18" s="2" t="s">
        <v>319</v>
      </c>
      <c r="B18" s="3" t="s">
        <v>136</v>
      </c>
      <c r="C18" s="3" t="s">
        <v>168</v>
      </c>
      <c r="D18" s="2" t="n">
        <f aca="false">COUNTIF('Capability Register'!$C$2:$C$82,$C18)</f>
        <v>3</v>
      </c>
    </row>
    <row r="19" customFormat="false" ht="15" hidden="false" customHeight="false" outlineLevel="0" collapsed="false">
      <c r="A19" s="2" t="s">
        <v>320</v>
      </c>
      <c r="B19" s="3" t="s">
        <v>136</v>
      </c>
      <c r="C19" s="3" t="s">
        <v>178</v>
      </c>
      <c r="D19" s="2" t="n">
        <f aca="false">COUNTIF('Capability Register'!$C$2:$C$82,$C19)</f>
        <v>2</v>
      </c>
    </row>
    <row r="20" customFormat="false" ht="15" hidden="false" customHeight="false" outlineLevel="0" collapsed="false">
      <c r="A20" s="2" t="s">
        <v>321</v>
      </c>
      <c r="B20" s="3" t="s">
        <v>185</v>
      </c>
      <c r="C20" s="3" t="s">
        <v>186</v>
      </c>
      <c r="D20" s="2" t="n">
        <f aca="false">COUNTIF('Capability Register'!$C$2:$C$82,$C20)</f>
        <v>3</v>
      </c>
    </row>
    <row r="21" customFormat="false" ht="15" hidden="false" customHeight="false" outlineLevel="0" collapsed="false">
      <c r="A21" s="2" t="s">
        <v>322</v>
      </c>
      <c r="B21" s="3" t="s">
        <v>185</v>
      </c>
      <c r="C21" s="3" t="s">
        <v>197</v>
      </c>
      <c r="D21" s="2" t="n">
        <f aca="false">COUNTIF('Capability Register'!$C$2:$C$82,$C21)</f>
        <v>3</v>
      </c>
    </row>
    <row r="22" customFormat="false" ht="15" hidden="false" customHeight="false" outlineLevel="0" collapsed="false">
      <c r="A22" s="2" t="s">
        <v>323</v>
      </c>
      <c r="B22" s="3" t="s">
        <v>185</v>
      </c>
      <c r="C22" s="3" t="s">
        <v>205</v>
      </c>
      <c r="D22" s="2" t="n">
        <f aca="false">COUNTIF('Capability Register'!$C$2:$C$82,$C22)</f>
        <v>3</v>
      </c>
    </row>
    <row r="23" customFormat="false" ht="15" hidden="false" customHeight="false" outlineLevel="0" collapsed="false">
      <c r="A23" s="2" t="s">
        <v>324</v>
      </c>
      <c r="B23" s="3" t="s">
        <v>185</v>
      </c>
      <c r="C23" s="3" t="s">
        <v>213</v>
      </c>
      <c r="D23" s="2" t="n">
        <f aca="false">COUNTIF('Capability Register'!$C$2:$C$82,$C23)</f>
        <v>2</v>
      </c>
    </row>
    <row r="24" customFormat="false" ht="15" hidden="false" customHeight="false" outlineLevel="0" collapsed="false">
      <c r="A24" s="2" t="s">
        <v>325</v>
      </c>
      <c r="B24" s="3" t="s">
        <v>220</v>
      </c>
      <c r="C24" s="3" t="s">
        <v>221</v>
      </c>
      <c r="D24" s="2" t="n">
        <f aca="false">COUNTIF('Capability Register'!$C$2:$C$82,$C24)</f>
        <v>3</v>
      </c>
    </row>
    <row r="25" customFormat="false" ht="15" hidden="false" customHeight="false" outlineLevel="0" collapsed="false">
      <c r="A25" s="2" t="s">
        <v>326</v>
      </c>
      <c r="B25" s="3" t="s">
        <v>220</v>
      </c>
      <c r="C25" s="3" t="s">
        <v>232</v>
      </c>
      <c r="D25" s="2" t="n">
        <f aca="false">COUNTIF('Capability Register'!$C$2:$C$82,$C25)</f>
        <v>3</v>
      </c>
    </row>
    <row r="26" customFormat="false" ht="15" hidden="false" customHeight="false" outlineLevel="0" collapsed="false">
      <c r="A26" s="2" t="s">
        <v>327</v>
      </c>
      <c r="B26" s="3" t="s">
        <v>220</v>
      </c>
      <c r="C26" s="3" t="s">
        <v>242</v>
      </c>
      <c r="D26" s="2" t="n">
        <f aca="false">COUNTIF('Capability Register'!$C$2:$C$82,$C26)</f>
        <v>2</v>
      </c>
    </row>
    <row r="27" customFormat="false" ht="15" hidden="false" customHeight="false" outlineLevel="0" collapsed="false">
      <c r="A27" s="2" t="s">
        <v>328</v>
      </c>
      <c r="B27" s="3" t="s">
        <v>220</v>
      </c>
      <c r="C27" s="3" t="s">
        <v>248</v>
      </c>
      <c r="D27" s="2" t="n">
        <f aca="false">COUNTIF('Capability Register'!$C$2:$C$82,$C27)</f>
        <v>2</v>
      </c>
    </row>
    <row r="28" customFormat="false" ht="15" hidden="false" customHeight="false" outlineLevel="0" collapsed="false">
      <c r="A28" s="2" t="s">
        <v>329</v>
      </c>
      <c r="B28" s="3" t="s">
        <v>257</v>
      </c>
      <c r="C28" s="3" t="s">
        <v>258</v>
      </c>
      <c r="D28" s="2" t="n">
        <f aca="false">COUNTIF('Capability Register'!$C$2:$C$82,$C28)</f>
        <v>3</v>
      </c>
    </row>
    <row r="29" customFormat="false" ht="15" hidden="false" customHeight="false" outlineLevel="0" collapsed="false">
      <c r="A29" s="2" t="s">
        <v>330</v>
      </c>
      <c r="B29" s="3" t="s">
        <v>257</v>
      </c>
      <c r="C29" s="3" t="s">
        <v>270</v>
      </c>
      <c r="D29" s="2" t="n">
        <f aca="false">COUNTIF('Capability Register'!$C$2:$C$82,$C29)</f>
        <v>2</v>
      </c>
    </row>
    <row r="30" customFormat="false" ht="15" hidden="false" customHeight="false" outlineLevel="0" collapsed="false">
      <c r="A30" s="2" t="s">
        <v>331</v>
      </c>
      <c r="B30" s="3" t="s">
        <v>257</v>
      </c>
      <c r="C30" s="3" t="s">
        <v>279</v>
      </c>
      <c r="D30" s="2" t="n">
        <f aca="false">COUNTIF('Capability Register'!$C$2:$C$82,$C30)</f>
        <v>2</v>
      </c>
    </row>
    <row r="31" customFormat="false" ht="15" hidden="false" customHeight="false" outlineLevel="0" collapsed="false">
      <c r="A31" s="2" t="s">
        <v>332</v>
      </c>
      <c r="B31" s="3" t="s">
        <v>257</v>
      </c>
      <c r="C31" s="3" t="s">
        <v>286</v>
      </c>
      <c r="D31" s="2" t="n">
        <f aca="false">COUNTIF('Capability Register'!$C$2:$C$82,$C31)</f>
        <v>2</v>
      </c>
    </row>
  </sheetData>
  <autoFilter ref="A1:D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7" t="s">
        <v>333</v>
      </c>
    </row>
    <row r="3" customFormat="false" ht="15" hidden="false" customHeight="false" outlineLevel="0" collapsed="false">
      <c r="A3" s="5" t="s">
        <v>334</v>
      </c>
    </row>
    <row r="4" customFormat="false" ht="23.85" hidden="false" customHeight="false" outlineLevel="0" collapsed="false">
      <c r="A4" s="8" t="s">
        <v>335</v>
      </c>
      <c r="B4" s="9" t="s">
        <v>336</v>
      </c>
    </row>
    <row r="5" customFormat="false" ht="15" hidden="false" customHeight="false" outlineLevel="0" collapsed="false">
      <c r="A5" s="8" t="s">
        <v>337</v>
      </c>
      <c r="B5" s="9" t="s">
        <v>338</v>
      </c>
    </row>
    <row r="6" customFormat="false" ht="23.85" hidden="false" customHeight="false" outlineLevel="0" collapsed="false">
      <c r="A6" s="8" t="s">
        <v>4</v>
      </c>
      <c r="B6" s="9" t="s">
        <v>339</v>
      </c>
    </row>
    <row r="7" customFormat="false" ht="15" hidden="false" customHeight="false" outlineLevel="0" collapsed="false">
      <c r="A7" s="8" t="s">
        <v>5</v>
      </c>
      <c r="B7" s="9" t="s">
        <v>340</v>
      </c>
    </row>
    <row r="8" customFormat="false" ht="23.85" hidden="false" customHeight="false" outlineLevel="0" collapsed="false">
      <c r="A8" s="8" t="s">
        <v>6</v>
      </c>
      <c r="B8" s="9" t="s">
        <v>341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5" t="s">
        <v>342</v>
      </c>
    </row>
    <row r="11" customFormat="false" ht="15" hidden="false" customHeight="false" outlineLevel="0" collapsed="false">
      <c r="A11" s="8" t="s">
        <v>343</v>
      </c>
      <c r="B11" s="9" t="s">
        <v>344</v>
      </c>
    </row>
    <row r="12" customFormat="false" ht="15" hidden="false" customHeight="false" outlineLevel="0" collapsed="false">
      <c r="A12" s="8" t="s">
        <v>345</v>
      </c>
      <c r="B12" s="9" t="s">
        <v>346</v>
      </c>
    </row>
    <row r="13" customFormat="false" ht="15" hidden="false" customHeight="false" outlineLevel="0" collapsed="false">
      <c r="A13" s="8" t="s">
        <v>347</v>
      </c>
      <c r="B13" s="9" t="s">
        <v>348</v>
      </c>
    </row>
    <row r="14" customFormat="false" ht="15" hidden="false" customHeight="false" outlineLevel="0" collapsed="false">
      <c r="A14" s="5"/>
    </row>
    <row r="15" customFormat="false" ht="15" hidden="false" customHeight="false" outlineLevel="0" collapsed="false">
      <c r="A15" s="5" t="s">
        <v>349</v>
      </c>
    </row>
    <row r="16" customFormat="false" ht="15" hidden="false" customHeight="false" outlineLevel="0" collapsed="false">
      <c r="A16" s="8" t="s">
        <v>350</v>
      </c>
      <c r="B16" s="9" t="s">
        <v>351</v>
      </c>
    </row>
    <row r="17" customFormat="false" ht="15" hidden="false" customHeight="false" outlineLevel="0" collapsed="false">
      <c r="A17" s="8" t="s">
        <v>352</v>
      </c>
      <c r="B17" s="9" t="s">
        <v>353</v>
      </c>
    </row>
    <row r="18" customFormat="false" ht="15" hidden="false" customHeight="false" outlineLevel="0" collapsed="false">
      <c r="A18" s="8" t="s">
        <v>354</v>
      </c>
      <c r="B18" s="9" t="s">
        <v>355</v>
      </c>
    </row>
    <row r="19" customFormat="false" ht="23.85" hidden="false" customHeight="false" outlineLevel="0" collapsed="false">
      <c r="A19" s="8" t="s">
        <v>356</v>
      </c>
      <c r="B19" s="9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2026-09-15T05:52:48Z</dcterms:created>
  <dc:creator>openpyxl</dc:creator>
  <dc:description/>
  <dc:language>en-US</dc:language>
  <cp:lastModifiedBy/>
  <dcterms:modified xsi:type="dcterms:W3CDTF">2026-09-15T05:52:48Z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