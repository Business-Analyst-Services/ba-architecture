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 Register" sheetId="1" state="visible" r:id="rId3"/>
    <sheet name="Relationships" sheetId="2" state="visible" r:id="rId4"/>
    <sheet name="Type Summary" sheetId="3" state="visible" r:id="rId5"/>
    <sheet name="Read Me" sheetId="4" state="visible" r:id="rId6"/>
  </sheets>
  <definedNames>
    <definedName function="false" hidden="true" localSheetId="0" name="_xlnm._FilterDatabase" vbProcedure="false">'Object Register'!$A$1:$G$23</definedName>
    <definedName function="false" hidden="true" localSheetId="1" name="_xlnm._FilterDatabase" vbProcedure="false">Relationships!$A$1:$E$36</definedName>
    <definedName function="false" hidden="true" localSheetId="2" name="_xlnm._FilterDatabase" vbProcedure="false">'Type Summary'!$A$1:$C$4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<sst xmlns="http://schemas.openxmlformats.org/spreadsheetml/2006/main" count="330" uniqueCount="152">
  <si>
    <t xml:space="preserve">ID</t>
  </si>
  <si>
    <t xml:space="preserve">Object</t>
  </si>
  <si>
    <t xml:space="preserve">Type</t>
  </si>
  <si>
    <t xml:space="preserve">Definition</t>
  </si>
  <si>
    <t xml:space="preserve">Absorbs (source objects)</t>
  </si>
  <si>
    <t xml:space="preserve">Out</t>
  </si>
  <si>
    <t xml:space="preserve">In</t>
  </si>
  <si>
    <t xml:space="preserve">P1</t>
  </si>
  <si>
    <t xml:space="preserve">Client</t>
  </si>
  <si>
    <t xml:space="preserve">Party</t>
  </si>
  <si>
    <t xml:space="preserve">An organisation BAS delivers consulting or advisory work to.</t>
  </si>
  <si>
    <t xml:space="preserve">P2</t>
  </si>
  <si>
    <t xml:space="preserve">Client Stakeholder</t>
  </si>
  <si>
    <t xml:space="preserve">A named individual within a client who holds a need, a decision or an approval.</t>
  </si>
  <si>
    <t xml:space="preserve">Stakeholder</t>
  </si>
  <si>
    <t xml:space="preserve">P3</t>
  </si>
  <si>
    <t xml:space="preserve">Learner</t>
  </si>
  <si>
    <t xml:space="preserve">An individual enrolled in a BAS course, workshop or study community.</t>
  </si>
  <si>
    <t xml:space="preserve">Learner, Community Member</t>
  </si>
  <si>
    <t xml:space="preserve">P4</t>
  </si>
  <si>
    <t xml:space="preserve">Practitioner</t>
  </si>
  <si>
    <t xml:space="preserve">A BAS consultant, facilitator, author or associate who performs the work.</t>
  </si>
  <si>
    <t xml:space="preserve">Associate, Resource Plan</t>
  </si>
  <si>
    <t xml:space="preserve">P5</t>
  </si>
  <si>
    <t xml:space="preserve">Partner</t>
  </si>
  <si>
    <t xml:space="preserve">An organisation BAS co-delivers, co-markets or co-publishes with.</t>
  </si>
  <si>
    <t xml:space="preserve">P6</t>
  </si>
  <si>
    <t xml:space="preserve">Vendor</t>
  </si>
  <si>
    <t xml:space="preserve">A supplier of platform, tooling or services BAS consumes.</t>
  </si>
  <si>
    <t xml:space="preserve">R1</t>
  </si>
  <si>
    <t xml:space="preserve">Service Offering</t>
  </si>
  <si>
    <t xml:space="preserve">Resource</t>
  </si>
  <si>
    <t xml:space="preserve">A named, priced consulting or training product in the BAS portfolio.</t>
  </si>
  <si>
    <t xml:space="preserve">Service Offering, Practice Strategy</t>
  </si>
  <si>
    <t xml:space="preserve">R2</t>
  </si>
  <si>
    <t xml:space="preserve">Methodology</t>
  </si>
  <si>
    <t xml:space="preserve">The BA practice model, standards, framework mappings and AI governance policy set.</t>
  </si>
  <si>
    <t xml:space="preserve">Methodology, Standard, AI Policy</t>
  </si>
  <si>
    <t xml:space="preserve">R3</t>
  </si>
  <si>
    <t xml:space="preserve">IP Asset</t>
  </si>
  <si>
    <t xml:space="preserve">Reusable intellectual property: playbooks, templates, publications and visual assets.</t>
  </si>
  <si>
    <t xml:space="preserve">Playbook, Template, Visual Asset, IP Asset, Publication</t>
  </si>
  <si>
    <t xml:space="preserve">R4</t>
  </si>
  <si>
    <t xml:space="preserve">Course</t>
  </si>
  <si>
    <t xml:space="preserve">A curriculum with its courseware, scheduled cohorts and sessions.</t>
  </si>
  <si>
    <t xml:space="preserve">Curriculum, Courseware, Cohort, Session, Assessment</t>
  </si>
  <si>
    <t xml:space="preserve">R5</t>
  </si>
  <si>
    <t xml:space="preserve">Platform Component</t>
  </si>
  <si>
    <t xml:space="preserve">Software, environments, releases, tests, accounts and subscriptions making up the BAS platform.</t>
  </si>
  <si>
    <t xml:space="preserve">Software Component, Backlog Item, Test Case, Environment, Release, User Account, Subscription</t>
  </si>
  <si>
    <t xml:space="preserve">R6</t>
  </si>
  <si>
    <t xml:space="preserve">Brand Content</t>
  </si>
  <si>
    <t xml:space="preserve">Brand identity, marketing content items and campaign assets.</t>
  </si>
  <si>
    <t xml:space="preserve">Brand, Content Item, Campaign</t>
  </si>
  <si>
    <t xml:space="preserve">D1</t>
  </si>
  <si>
    <t xml:space="preserve">Opportunity</t>
  </si>
  <si>
    <t xml:space="preserve">Record</t>
  </si>
  <si>
    <t xml:space="preserve">Demand from an identified or prospective client, from first enquiry through proposal.</t>
  </si>
  <si>
    <t xml:space="preserve">Opportunity, Proposal, Lead</t>
  </si>
  <si>
    <t xml:space="preserve">D2</t>
  </si>
  <si>
    <t xml:space="preserve">Contract</t>
  </si>
  <si>
    <t xml:space="preserve">The agreed statement of work and commercial terms authorising delivery.</t>
  </si>
  <si>
    <t xml:space="preserve">D3</t>
  </si>
  <si>
    <t xml:space="preserve">Engagement</t>
  </si>
  <si>
    <t xml:space="preserve">An instance of consulting delivery against a contract.</t>
  </si>
  <si>
    <t xml:space="preserve">D4</t>
  </si>
  <si>
    <t xml:space="preserve">Requirement</t>
  </si>
  <si>
    <t xml:space="preserve">An elicited and specified need, including the models and solution options evaluated against it.</t>
  </si>
  <si>
    <t xml:space="preserve">Requirement, Model, Solution Option</t>
  </si>
  <si>
    <t xml:space="preserve">D5</t>
  </si>
  <si>
    <t xml:space="preserve">Deliverable</t>
  </si>
  <si>
    <t xml:space="preserve">An artefact produced for and accepted by a client, including status reports.</t>
  </si>
  <si>
    <t xml:space="preserve">Deliverable, Status Report</t>
  </si>
  <si>
    <t xml:space="preserve">D6</t>
  </si>
  <si>
    <t xml:space="preserve">Enrolment</t>
  </si>
  <si>
    <t xml:space="preserve">A learner's registration, attendance, assessment result and certification for a course.</t>
  </si>
  <si>
    <t xml:space="preserve">Enrolment, Certificate</t>
  </si>
  <si>
    <t xml:space="preserve">D7</t>
  </si>
  <si>
    <t xml:space="preserve">Outcome &amp; Insight</t>
  </si>
  <si>
    <t xml:space="preserve">Measured results and learning: benefits realised, feedback, retrospectives, research findings and usage metrics.</t>
  </si>
  <si>
    <t xml:space="preserve">Benefit, Feedback, Research Finding, Analytics Metric</t>
  </si>
  <si>
    <t xml:space="preserve">D8</t>
  </si>
  <si>
    <t xml:space="preserve">Financial Transaction</t>
  </si>
  <si>
    <t xml:space="preserve">Invoices raised, payments received and the financial records derived from them.</t>
  </si>
  <si>
    <t xml:space="preserve">Invoice, Payment, Financial Record</t>
  </si>
  <si>
    <t xml:space="preserve">D9</t>
  </si>
  <si>
    <t xml:space="preserve">Risk &amp; Change Record</t>
  </si>
  <si>
    <t xml:space="preserve">Risks, issues, change requests and incidents raised against delivery or the platform.</t>
  </si>
  <si>
    <t xml:space="preserve">Risk, Change Request, Incident</t>
  </si>
  <si>
    <t xml:space="preserve">D10</t>
  </si>
  <si>
    <t xml:space="preserve">Compliance Record</t>
  </si>
  <si>
    <t xml:space="preserve">Retained records evidencing regulatory, privacy and licensing obligations.</t>
  </si>
  <si>
    <t xml:space="preserve">Record, Compliance Obligation, Privacy Record</t>
  </si>
  <si>
    <t xml:space="preserve">From ID</t>
  </si>
  <si>
    <t xml:space="preserve">From</t>
  </si>
  <si>
    <t xml:space="preserve">Relationship</t>
  </si>
  <si>
    <t xml:space="preserve">To ID</t>
  </si>
  <si>
    <t xml:space="preserve">To</t>
  </si>
  <si>
    <t xml:space="preserve">employs</t>
  </si>
  <si>
    <t xml:space="preserve">is the source of</t>
  </si>
  <si>
    <t xml:space="preserve">generates</t>
  </si>
  <si>
    <t xml:space="preserve">scopes</t>
  </si>
  <si>
    <t xml:space="preserve">converts to</t>
  </si>
  <si>
    <t xml:space="preserve">authorises</t>
  </si>
  <si>
    <t xml:space="preserve">delivers</t>
  </si>
  <si>
    <t xml:space="preserve">governs</t>
  </si>
  <si>
    <t xml:space="preserve">specifies</t>
  </si>
  <si>
    <t xml:space="preserve">produces</t>
  </si>
  <si>
    <t xml:space="preserve">satisfies</t>
  </si>
  <si>
    <t xml:space="preserve">raises</t>
  </si>
  <si>
    <t xml:space="preserve">is billed through</t>
  </si>
  <si>
    <t xml:space="preserve">is evaluated by</t>
  </si>
  <si>
    <t xml:space="preserve">is embodied in</t>
  </si>
  <si>
    <t xml:space="preserve">packages</t>
  </si>
  <si>
    <t xml:space="preserve">registers via</t>
  </si>
  <si>
    <t xml:space="preserve">is held against</t>
  </si>
  <si>
    <t xml:space="preserve">facilitates</t>
  </si>
  <si>
    <t xml:space="preserve">improves</t>
  </si>
  <si>
    <t xml:space="preserve">co-delivers</t>
  </si>
  <si>
    <t xml:space="preserve">co-publishes</t>
  </si>
  <si>
    <t xml:space="preserve">supplies</t>
  </si>
  <si>
    <t xml:space="preserve">hosts</t>
  </si>
  <si>
    <t xml:space="preserve">is evidenced by</t>
  </si>
  <si>
    <t xml:space="preserve">Count</t>
  </si>
  <si>
    <t xml:space="preserve">% of Model</t>
  </si>
  <si>
    <t xml:space="preserve">Total</t>
  </si>
  <si>
    <t xml:space="preserve">BAS Concept Model — Object Register</t>
  </si>
  <si>
    <t xml:space="preserve">About this workbook</t>
  </si>
  <si>
    <t xml:space="preserve">Purpose</t>
  </si>
  <si>
    <t xml:space="preserve">What Business Analyst Services manages: the things the business holds facts about, and how they relate.</t>
  </si>
  <si>
    <t xml:space="preserve">Types</t>
  </si>
  <si>
    <t xml:space="preserve">Party = someone who acts. Resource = something used to produce value. Record = evidence that something happened or was agreed.</t>
  </si>
  <si>
    <t xml:space="preserve">Absorbs</t>
  </si>
  <si>
    <t xml:space="preserve">The business objects surfaced during capability mapping that this object consolidates. All 57 source objects are accounted for; none were dropped.</t>
  </si>
  <si>
    <t xml:space="preserve">Out / In</t>
  </si>
  <si>
    <t xml:space="preserve">Formula counts of outbound and inbound relationships, computed from the Relationships tab.</t>
  </si>
  <si>
    <t xml:space="preserve">Tabs</t>
  </si>
  <si>
    <t xml:space="preserve">Object Register</t>
  </si>
  <si>
    <t xml:space="preserve">The 22 objects with definitions.</t>
  </si>
  <si>
    <t xml:space="preserve">Relationships</t>
  </si>
  <si>
    <t xml:space="preserve">35 directed relationships. Read as: From + Relationship + To.</t>
  </si>
  <si>
    <t xml:space="preserve">Type Summary</t>
  </si>
  <si>
    <t xml:space="preserve">Formula rollup by type.</t>
  </si>
  <si>
    <t xml:space="preserve">Provenance</t>
  </si>
  <si>
    <t xml:space="preserve">Generated</t>
  </si>
  <si>
    <t xml:space="preserve">PlausibleBA Skills Library v1.5.0</t>
  </si>
  <si>
    <t xml:space="preserve">Generated at</t>
  </si>
  <si>
    <t xml:space="preserve">2026-09-15T05:51:56Z</t>
  </si>
  <si>
    <t xml:space="preserve">Scaffold ID</t>
  </si>
  <si>
    <t xml:space="preserve">ff32d393-0683-4be7-9108-134ef7198995</t>
  </si>
  <si>
    <t xml:space="preserve">Source</t>
  </si>
  <si>
    <t xml:space="preserve">Seeded from the Phase 1 capability map's business objects, consolidated and classified in session, confirmed at checkpoint 2.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</si>
</sst>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23446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446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344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344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62"/>
    <col collapsed="false" customWidth="true" hidden="false" outlineLevel="0" max="5" min="5" style="0" width="56"/>
    <col collapsed="false" customWidth="true" hidden="false" outlineLevel="0" max="7" min="6" style="0" width="8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3" t="s">
        <v>8</v>
      </c>
      <c r="F2" s="2" t="n">
        <f aca="false">COUNTIF(Relationships!$A$2:$A$36,$A2)</f>
        <v>2</v>
      </c>
      <c r="G2" s="2" t="n">
        <f aca="false">COUNTIF(Relationships!$D$2:$D$36,$A2)</f>
        <v>0</v>
      </c>
    </row>
    <row r="3" customFormat="false" ht="23.85" hidden="false" customHeight="false" outlineLevel="0" collapsed="false">
      <c r="A3" s="2" t="s">
        <v>11</v>
      </c>
      <c r="B3" s="2" t="s">
        <v>12</v>
      </c>
      <c r="C3" s="2" t="s">
        <v>9</v>
      </c>
      <c r="D3" s="3" t="s">
        <v>13</v>
      </c>
      <c r="E3" s="3" t="s">
        <v>14</v>
      </c>
      <c r="F3" s="2" t="n">
        <f aca="false">COUNTIF(Relationships!$A$2:$A$36,$A3)</f>
        <v>1</v>
      </c>
      <c r="G3" s="2" t="n">
        <f aca="false">COUNTIF(Relationships!$D$2:$D$36,$A3)</f>
        <v>1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9</v>
      </c>
      <c r="D4" s="3" t="s">
        <v>17</v>
      </c>
      <c r="E4" s="3" t="s">
        <v>18</v>
      </c>
      <c r="F4" s="2" t="n">
        <f aca="false">COUNTIF(Relationships!$A$2:$A$36,$A4)</f>
        <v>1</v>
      </c>
      <c r="G4" s="2" t="n">
        <f aca="false">COUNTIF(Relationships!$D$2:$D$36,$A4)</f>
        <v>0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9</v>
      </c>
      <c r="D5" s="3" t="s">
        <v>21</v>
      </c>
      <c r="E5" s="3" t="s">
        <v>22</v>
      </c>
      <c r="F5" s="2" t="n">
        <f aca="false">COUNTIF(Relationships!$A$2:$A$36,$A5)</f>
        <v>2</v>
      </c>
      <c r="G5" s="2" t="n">
        <f aca="false">COUNTIF(Relationships!$D$2:$D$36,$A5)</f>
        <v>0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9</v>
      </c>
      <c r="D6" s="3" t="s">
        <v>25</v>
      </c>
      <c r="E6" s="3" t="s">
        <v>24</v>
      </c>
      <c r="F6" s="2" t="n">
        <f aca="false">COUNTIF(Relationships!$A$2:$A$36,$A6)</f>
        <v>2</v>
      </c>
      <c r="G6" s="2" t="n">
        <f aca="false">COUNTIF(Relationships!$D$2:$D$36,$A6)</f>
        <v>0</v>
      </c>
    </row>
    <row r="7" customFormat="false" ht="15" hidden="false" customHeight="false" outlineLevel="0" collapsed="false">
      <c r="A7" s="2" t="s">
        <v>26</v>
      </c>
      <c r="B7" s="2" t="s">
        <v>27</v>
      </c>
      <c r="C7" s="2" t="s">
        <v>9</v>
      </c>
      <c r="D7" s="3" t="s">
        <v>28</v>
      </c>
      <c r="E7" s="3" t="s">
        <v>27</v>
      </c>
      <c r="F7" s="2" t="n">
        <f aca="false">COUNTIF(Relationships!$A$2:$A$36,$A7)</f>
        <v>1</v>
      </c>
      <c r="G7" s="2" t="n">
        <f aca="false">COUNTIF(Relationships!$D$2:$D$36,$A7)</f>
        <v>0</v>
      </c>
    </row>
    <row r="8" customFormat="false" ht="15" hidden="false" customHeight="false" outlineLevel="0" collapsed="false">
      <c r="A8" s="2" t="s">
        <v>29</v>
      </c>
      <c r="B8" s="2" t="s">
        <v>30</v>
      </c>
      <c r="C8" s="2" t="s">
        <v>31</v>
      </c>
      <c r="D8" s="3" t="s">
        <v>32</v>
      </c>
      <c r="E8" s="3" t="s">
        <v>33</v>
      </c>
      <c r="F8" s="2" t="n">
        <f aca="false">COUNTIF(Relationships!$A$2:$A$36,$A8)</f>
        <v>3</v>
      </c>
      <c r="G8" s="2" t="n">
        <f aca="false">COUNTIF(Relationships!$D$2:$D$36,$A8)</f>
        <v>0</v>
      </c>
    </row>
    <row r="9" customFormat="false" ht="23.85" hidden="false" customHeight="false" outlineLevel="0" collapsed="false">
      <c r="A9" s="2" t="s">
        <v>34</v>
      </c>
      <c r="B9" s="2" t="s">
        <v>35</v>
      </c>
      <c r="C9" s="2" t="s">
        <v>31</v>
      </c>
      <c r="D9" s="3" t="s">
        <v>36</v>
      </c>
      <c r="E9" s="3" t="s">
        <v>37</v>
      </c>
      <c r="F9" s="2" t="n">
        <f aca="false">COUNTIF(Relationships!$A$2:$A$36,$A9)</f>
        <v>2</v>
      </c>
      <c r="G9" s="2" t="n">
        <f aca="false">COUNTIF(Relationships!$D$2:$D$36,$A9)</f>
        <v>0</v>
      </c>
    </row>
    <row r="10" customFormat="false" ht="23.85" hidden="false" customHeight="false" outlineLevel="0" collapsed="false">
      <c r="A10" s="2" t="s">
        <v>38</v>
      </c>
      <c r="B10" s="2" t="s">
        <v>39</v>
      </c>
      <c r="C10" s="2" t="s">
        <v>31</v>
      </c>
      <c r="D10" s="3" t="s">
        <v>40</v>
      </c>
      <c r="E10" s="3" t="s">
        <v>41</v>
      </c>
      <c r="F10" s="2" t="n">
        <f aca="false">COUNTIF(Relationships!$A$2:$A$36,$A10)</f>
        <v>1</v>
      </c>
      <c r="G10" s="2" t="n">
        <f aca="false">COUNTIF(Relationships!$D$2:$D$36,$A10)</f>
        <v>4</v>
      </c>
    </row>
    <row r="11" customFormat="false" ht="15" hidden="false" customHeight="false" outlineLevel="0" collapsed="false">
      <c r="A11" s="2" t="s">
        <v>42</v>
      </c>
      <c r="B11" s="2" t="s">
        <v>43</v>
      </c>
      <c r="C11" s="2" t="s">
        <v>31</v>
      </c>
      <c r="D11" s="3" t="s">
        <v>44</v>
      </c>
      <c r="E11" s="3" t="s">
        <v>45</v>
      </c>
      <c r="F11" s="2" t="n">
        <f aca="false">COUNTIF(Relationships!$A$2:$A$36,$A11)</f>
        <v>0</v>
      </c>
      <c r="G11" s="2" t="n">
        <f aca="false">COUNTIF(Relationships!$D$2:$D$36,$A11)</f>
        <v>7</v>
      </c>
    </row>
    <row r="12" customFormat="false" ht="23.85" hidden="false" customHeight="false" outlineLevel="0" collapsed="false">
      <c r="A12" s="2" t="s">
        <v>46</v>
      </c>
      <c r="B12" s="2" t="s">
        <v>47</v>
      </c>
      <c r="C12" s="2" t="s">
        <v>31</v>
      </c>
      <c r="D12" s="3" t="s">
        <v>48</v>
      </c>
      <c r="E12" s="3" t="s">
        <v>49</v>
      </c>
      <c r="F12" s="2" t="n">
        <f aca="false">COUNTIF(Relationships!$A$2:$A$36,$A12)</f>
        <v>4</v>
      </c>
      <c r="G12" s="2" t="n">
        <f aca="false">COUNTIF(Relationships!$D$2:$D$36,$A12)</f>
        <v>1</v>
      </c>
    </row>
    <row r="13" customFormat="false" ht="15" hidden="false" customHeight="false" outlineLevel="0" collapsed="false">
      <c r="A13" s="2" t="s">
        <v>50</v>
      </c>
      <c r="B13" s="2" t="s">
        <v>51</v>
      </c>
      <c r="C13" s="2" t="s">
        <v>31</v>
      </c>
      <c r="D13" s="3" t="s">
        <v>52</v>
      </c>
      <c r="E13" s="3" t="s">
        <v>53</v>
      </c>
      <c r="F13" s="2" t="n">
        <f aca="false">COUNTIF(Relationships!$A$2:$A$36,$A13)</f>
        <v>1</v>
      </c>
      <c r="G13" s="2" t="n">
        <f aca="false">COUNTIF(Relationships!$D$2:$D$36,$A13)</f>
        <v>1</v>
      </c>
    </row>
    <row r="14" customFormat="false" ht="23.85" hidden="false" customHeight="false" outlineLevel="0" collapsed="false">
      <c r="A14" s="2" t="s">
        <v>54</v>
      </c>
      <c r="B14" s="2" t="s">
        <v>55</v>
      </c>
      <c r="C14" s="2" t="s">
        <v>56</v>
      </c>
      <c r="D14" s="3" t="s">
        <v>57</v>
      </c>
      <c r="E14" s="3" t="s">
        <v>58</v>
      </c>
      <c r="F14" s="2" t="n">
        <f aca="false">COUNTIF(Relationships!$A$2:$A$36,$A14)</f>
        <v>1</v>
      </c>
      <c r="G14" s="2" t="n">
        <f aca="false">COUNTIF(Relationships!$D$2:$D$36,$A14)</f>
        <v>3</v>
      </c>
    </row>
    <row r="15" customFormat="false" ht="15" hidden="false" customHeight="false" outlineLevel="0" collapsed="false">
      <c r="A15" s="2" t="s">
        <v>59</v>
      </c>
      <c r="B15" s="2" t="s">
        <v>60</v>
      </c>
      <c r="C15" s="2" t="s">
        <v>56</v>
      </c>
      <c r="D15" s="3" t="s">
        <v>61</v>
      </c>
      <c r="E15" s="3" t="s">
        <v>60</v>
      </c>
      <c r="F15" s="2" t="n">
        <f aca="false">COUNTIF(Relationships!$A$2:$A$36,$A15)</f>
        <v>3</v>
      </c>
      <c r="G15" s="2" t="n">
        <f aca="false">COUNTIF(Relationships!$D$2:$D$36,$A15)</f>
        <v>1</v>
      </c>
    </row>
    <row r="16" customFormat="false" ht="15" hidden="false" customHeight="false" outlineLevel="0" collapsed="false">
      <c r="A16" s="2" t="s">
        <v>62</v>
      </c>
      <c r="B16" s="2" t="s">
        <v>63</v>
      </c>
      <c r="C16" s="2" t="s">
        <v>56</v>
      </c>
      <c r="D16" s="3" t="s">
        <v>64</v>
      </c>
      <c r="E16" s="3" t="s">
        <v>63</v>
      </c>
      <c r="F16" s="2" t="n">
        <f aca="false">COUNTIF(Relationships!$A$2:$A$36,$A16)</f>
        <v>4</v>
      </c>
      <c r="G16" s="2" t="n">
        <f aca="false">COUNTIF(Relationships!$D$2:$D$36,$A16)</f>
        <v>3</v>
      </c>
    </row>
    <row r="17" customFormat="false" ht="23.85" hidden="false" customHeight="false" outlineLevel="0" collapsed="false">
      <c r="A17" s="2" t="s">
        <v>65</v>
      </c>
      <c r="B17" s="2" t="s">
        <v>66</v>
      </c>
      <c r="C17" s="2" t="s">
        <v>56</v>
      </c>
      <c r="D17" s="3" t="s">
        <v>67</v>
      </c>
      <c r="E17" s="3" t="s">
        <v>68</v>
      </c>
      <c r="F17" s="2" t="n">
        <f aca="false">COUNTIF(Relationships!$A$2:$A$36,$A17)</f>
        <v>0</v>
      </c>
      <c r="G17" s="2" t="n">
        <f aca="false">COUNTIF(Relationships!$D$2:$D$36,$A17)</f>
        <v>3</v>
      </c>
    </row>
    <row r="18" customFormat="false" ht="15" hidden="false" customHeight="false" outlineLevel="0" collapsed="false">
      <c r="A18" s="2" t="s">
        <v>69</v>
      </c>
      <c r="B18" s="2" t="s">
        <v>70</v>
      </c>
      <c r="C18" s="2" t="s">
        <v>56</v>
      </c>
      <c r="D18" s="3" t="s">
        <v>71</v>
      </c>
      <c r="E18" s="3" t="s">
        <v>72</v>
      </c>
      <c r="F18" s="2" t="n">
        <f aca="false">COUNTIF(Relationships!$A$2:$A$36,$A18)</f>
        <v>1</v>
      </c>
      <c r="G18" s="2" t="n">
        <f aca="false">COUNTIF(Relationships!$D$2:$D$36,$A18)</f>
        <v>1</v>
      </c>
    </row>
    <row r="19" customFormat="false" ht="23.85" hidden="false" customHeight="false" outlineLevel="0" collapsed="false">
      <c r="A19" s="2" t="s">
        <v>73</v>
      </c>
      <c r="B19" s="2" t="s">
        <v>74</v>
      </c>
      <c r="C19" s="2" t="s">
        <v>56</v>
      </c>
      <c r="D19" s="3" t="s">
        <v>75</v>
      </c>
      <c r="E19" s="3" t="s">
        <v>76</v>
      </c>
      <c r="F19" s="2" t="n">
        <f aca="false">COUNTIF(Relationships!$A$2:$A$36,$A19)</f>
        <v>4</v>
      </c>
      <c r="G19" s="2" t="n">
        <f aca="false">COUNTIF(Relationships!$D$2:$D$36,$A19)</f>
        <v>1</v>
      </c>
    </row>
    <row r="20" customFormat="false" ht="23.85" hidden="false" customHeight="false" outlineLevel="0" collapsed="false">
      <c r="A20" s="2" t="s">
        <v>77</v>
      </c>
      <c r="B20" s="2" t="s">
        <v>78</v>
      </c>
      <c r="C20" s="2" t="s">
        <v>56</v>
      </c>
      <c r="D20" s="3" t="s">
        <v>79</v>
      </c>
      <c r="E20" s="3" t="s">
        <v>80</v>
      </c>
      <c r="F20" s="2" t="n">
        <f aca="false">COUNTIF(Relationships!$A$2:$A$36,$A20)</f>
        <v>2</v>
      </c>
      <c r="G20" s="2" t="n">
        <f aca="false">COUNTIF(Relationships!$D$2:$D$36,$A20)</f>
        <v>2</v>
      </c>
    </row>
    <row r="21" customFormat="false" ht="23.85" hidden="false" customHeight="false" outlineLevel="0" collapsed="false">
      <c r="A21" s="2" t="s">
        <v>81</v>
      </c>
      <c r="B21" s="2" t="s">
        <v>82</v>
      </c>
      <c r="C21" s="2" t="s">
        <v>56</v>
      </c>
      <c r="D21" s="3" t="s">
        <v>83</v>
      </c>
      <c r="E21" s="3" t="s">
        <v>84</v>
      </c>
      <c r="F21" s="2" t="n">
        <f aca="false">COUNTIF(Relationships!$A$2:$A$36,$A21)</f>
        <v>0</v>
      </c>
      <c r="G21" s="2" t="n">
        <f aca="false">COUNTIF(Relationships!$D$2:$D$36,$A21)</f>
        <v>2</v>
      </c>
    </row>
    <row r="22" customFormat="false" ht="23.85" hidden="false" customHeight="false" outlineLevel="0" collapsed="false">
      <c r="A22" s="2" t="s">
        <v>85</v>
      </c>
      <c r="B22" s="2" t="s">
        <v>86</v>
      </c>
      <c r="C22" s="2" t="s">
        <v>56</v>
      </c>
      <c r="D22" s="3" t="s">
        <v>87</v>
      </c>
      <c r="E22" s="3" t="s">
        <v>88</v>
      </c>
      <c r="F22" s="2" t="n">
        <f aca="false">COUNTIF(Relationships!$A$2:$A$36,$A22)</f>
        <v>0</v>
      </c>
      <c r="G22" s="2" t="n">
        <f aca="false">COUNTIF(Relationships!$D$2:$D$36,$A22)</f>
        <v>2</v>
      </c>
    </row>
    <row r="23" customFormat="false" ht="15" hidden="false" customHeight="false" outlineLevel="0" collapsed="false">
      <c r="A23" s="2" t="s">
        <v>89</v>
      </c>
      <c r="B23" s="2" t="s">
        <v>90</v>
      </c>
      <c r="C23" s="2" t="s">
        <v>56</v>
      </c>
      <c r="D23" s="3" t="s">
        <v>91</v>
      </c>
      <c r="E23" s="3" t="s">
        <v>92</v>
      </c>
      <c r="F23" s="2" t="n">
        <f aca="false">COUNTIF(Relationships!$A$2:$A$36,$A23)</f>
        <v>0</v>
      </c>
      <c r="G23" s="2" t="n">
        <f aca="false">COUNTIF(Relationships!$D$2:$D$36,$A23)</f>
        <v>3</v>
      </c>
    </row>
  </sheetData>
  <autoFilter ref="A1:G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25.5" hidden="false" customHeight="true" outlineLevel="0" collapsed="false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98</v>
      </c>
      <c r="D2" s="2" t="s">
        <v>11</v>
      </c>
      <c r="E2" s="2" t="s">
        <v>12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99</v>
      </c>
      <c r="D3" s="2" t="s">
        <v>54</v>
      </c>
      <c r="E3" s="2" t="s">
        <v>55</v>
      </c>
    </row>
    <row r="4" customFormat="false" ht="15" hidden="false" customHeight="false" outlineLevel="0" collapsed="false">
      <c r="A4" s="2" t="s">
        <v>50</v>
      </c>
      <c r="B4" s="2" t="s">
        <v>51</v>
      </c>
      <c r="C4" s="2" t="s">
        <v>100</v>
      </c>
      <c r="D4" s="2" t="s">
        <v>54</v>
      </c>
      <c r="E4" s="2" t="s">
        <v>55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101</v>
      </c>
      <c r="D5" s="2" t="s">
        <v>54</v>
      </c>
      <c r="E5" s="2" t="s">
        <v>55</v>
      </c>
    </row>
    <row r="6" customFormat="false" ht="15" hidden="false" customHeight="false" outlineLevel="0" collapsed="false">
      <c r="A6" s="2" t="s">
        <v>54</v>
      </c>
      <c r="B6" s="2" t="s">
        <v>55</v>
      </c>
      <c r="C6" s="2" t="s">
        <v>102</v>
      </c>
      <c r="D6" s="2" t="s">
        <v>59</v>
      </c>
      <c r="E6" s="2" t="s">
        <v>60</v>
      </c>
    </row>
    <row r="7" customFormat="false" ht="15" hidden="false" customHeight="false" outlineLevel="0" collapsed="false">
      <c r="A7" s="2" t="s">
        <v>59</v>
      </c>
      <c r="B7" s="2" t="s">
        <v>60</v>
      </c>
      <c r="C7" s="2" t="s">
        <v>103</v>
      </c>
      <c r="D7" s="2" t="s">
        <v>62</v>
      </c>
      <c r="E7" s="2" t="s">
        <v>63</v>
      </c>
    </row>
    <row r="8" customFormat="false" ht="15" hidden="false" customHeight="false" outlineLevel="0" collapsed="false">
      <c r="A8" s="2" t="s">
        <v>19</v>
      </c>
      <c r="B8" s="2" t="s">
        <v>20</v>
      </c>
      <c r="C8" s="2" t="s">
        <v>104</v>
      </c>
      <c r="D8" s="2" t="s">
        <v>62</v>
      </c>
      <c r="E8" s="2" t="s">
        <v>63</v>
      </c>
    </row>
    <row r="9" customFormat="false" ht="15" hidden="false" customHeight="false" outlineLevel="0" collapsed="false">
      <c r="A9" s="2" t="s">
        <v>34</v>
      </c>
      <c r="B9" s="2" t="s">
        <v>35</v>
      </c>
      <c r="C9" s="2" t="s">
        <v>105</v>
      </c>
      <c r="D9" s="2" t="s">
        <v>62</v>
      </c>
      <c r="E9" s="2" t="s">
        <v>63</v>
      </c>
    </row>
    <row r="10" customFormat="false" ht="15" hidden="false" customHeight="false" outlineLevel="0" collapsed="false">
      <c r="A10" s="2" t="s">
        <v>11</v>
      </c>
      <c r="B10" s="2" t="s">
        <v>12</v>
      </c>
      <c r="C10" s="2" t="s">
        <v>99</v>
      </c>
      <c r="D10" s="2" t="s">
        <v>65</v>
      </c>
      <c r="E10" s="2" t="s">
        <v>66</v>
      </c>
    </row>
    <row r="11" customFormat="false" ht="15" hidden="false" customHeight="false" outlineLevel="0" collapsed="false">
      <c r="A11" s="2" t="s">
        <v>62</v>
      </c>
      <c r="B11" s="2" t="s">
        <v>63</v>
      </c>
      <c r="C11" s="2" t="s">
        <v>106</v>
      </c>
      <c r="D11" s="2" t="s">
        <v>65</v>
      </c>
      <c r="E11" s="2" t="s">
        <v>66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107</v>
      </c>
      <c r="D12" s="2" t="s">
        <v>69</v>
      </c>
      <c r="E12" s="2" t="s">
        <v>70</v>
      </c>
    </row>
    <row r="13" customFormat="false" ht="15" hidden="false" customHeight="false" outlineLevel="0" collapsed="false">
      <c r="A13" s="2" t="s">
        <v>69</v>
      </c>
      <c r="B13" s="2" t="s">
        <v>70</v>
      </c>
      <c r="C13" s="2" t="s">
        <v>108</v>
      </c>
      <c r="D13" s="2" t="s">
        <v>65</v>
      </c>
      <c r="E13" s="2" t="s">
        <v>66</v>
      </c>
    </row>
    <row r="14" customFormat="false" ht="15" hidden="false" customHeight="false" outlineLevel="0" collapsed="false">
      <c r="A14" s="2" t="s">
        <v>62</v>
      </c>
      <c r="B14" s="2" t="s">
        <v>63</v>
      </c>
      <c r="C14" s="2" t="s">
        <v>109</v>
      </c>
      <c r="D14" s="2" t="s">
        <v>85</v>
      </c>
      <c r="E14" s="2" t="s">
        <v>86</v>
      </c>
    </row>
    <row r="15" customFormat="false" ht="15" hidden="false" customHeight="false" outlineLevel="0" collapsed="false">
      <c r="A15" s="2" t="s">
        <v>59</v>
      </c>
      <c r="B15" s="2" t="s">
        <v>60</v>
      </c>
      <c r="C15" s="2" t="s">
        <v>110</v>
      </c>
      <c r="D15" s="2" t="s">
        <v>81</v>
      </c>
      <c r="E15" s="2" t="s">
        <v>82</v>
      </c>
    </row>
    <row r="16" customFormat="false" ht="15" hidden="false" customHeight="false" outlineLevel="0" collapsed="false">
      <c r="A16" s="2" t="s">
        <v>62</v>
      </c>
      <c r="B16" s="2" t="s">
        <v>63</v>
      </c>
      <c r="C16" s="2" t="s">
        <v>111</v>
      </c>
      <c r="D16" s="2" t="s">
        <v>77</v>
      </c>
      <c r="E16" s="2" t="s">
        <v>78</v>
      </c>
    </row>
    <row r="17" customFormat="false" ht="15" hidden="false" customHeight="false" outlineLevel="0" collapsed="false">
      <c r="A17" s="2" t="s">
        <v>34</v>
      </c>
      <c r="B17" s="2" t="s">
        <v>35</v>
      </c>
      <c r="C17" s="2" t="s">
        <v>112</v>
      </c>
      <c r="D17" s="2" t="s">
        <v>38</v>
      </c>
      <c r="E17" s="2" t="s">
        <v>39</v>
      </c>
    </row>
    <row r="18" customFormat="false" ht="15" hidden="false" customHeight="false" outlineLevel="0" collapsed="false">
      <c r="A18" s="2" t="s">
        <v>38</v>
      </c>
      <c r="B18" s="2" t="s">
        <v>39</v>
      </c>
      <c r="C18" s="2" t="s">
        <v>99</v>
      </c>
      <c r="D18" s="2" t="s">
        <v>42</v>
      </c>
      <c r="E18" s="2" t="s">
        <v>43</v>
      </c>
    </row>
    <row r="19" customFormat="false" ht="15" hidden="false" customHeight="false" outlineLevel="0" collapsed="false">
      <c r="A19" s="2" t="s">
        <v>29</v>
      </c>
      <c r="B19" s="2" t="s">
        <v>30</v>
      </c>
      <c r="C19" s="2" t="s">
        <v>113</v>
      </c>
      <c r="D19" s="2" t="s">
        <v>42</v>
      </c>
      <c r="E19" s="2" t="s">
        <v>43</v>
      </c>
    </row>
    <row r="20" customFormat="false" ht="15" hidden="false" customHeight="false" outlineLevel="0" collapsed="false">
      <c r="A20" s="2" t="s">
        <v>29</v>
      </c>
      <c r="B20" s="2" t="s">
        <v>30</v>
      </c>
      <c r="C20" s="2" t="s">
        <v>113</v>
      </c>
      <c r="D20" s="2" t="s">
        <v>38</v>
      </c>
      <c r="E20" s="2" t="s">
        <v>39</v>
      </c>
    </row>
    <row r="21" customFormat="false" ht="15" hidden="false" customHeight="false" outlineLevel="0" collapsed="false">
      <c r="A21" s="2" t="s">
        <v>15</v>
      </c>
      <c r="B21" s="2" t="s">
        <v>16</v>
      </c>
      <c r="C21" s="2" t="s">
        <v>114</v>
      </c>
      <c r="D21" s="2" t="s">
        <v>73</v>
      </c>
      <c r="E21" s="2" t="s">
        <v>74</v>
      </c>
    </row>
    <row r="22" customFormat="false" ht="15" hidden="false" customHeight="false" outlineLevel="0" collapsed="false">
      <c r="A22" s="2" t="s">
        <v>73</v>
      </c>
      <c r="B22" s="2" t="s">
        <v>74</v>
      </c>
      <c r="C22" s="2" t="s">
        <v>115</v>
      </c>
      <c r="D22" s="2" t="s">
        <v>42</v>
      </c>
      <c r="E22" s="2" t="s">
        <v>43</v>
      </c>
    </row>
    <row r="23" customFormat="false" ht="15" hidden="false" customHeight="false" outlineLevel="0" collapsed="false">
      <c r="A23" s="2" t="s">
        <v>19</v>
      </c>
      <c r="B23" s="2" t="s">
        <v>20</v>
      </c>
      <c r="C23" s="2" t="s">
        <v>116</v>
      </c>
      <c r="D23" s="2" t="s">
        <v>42</v>
      </c>
      <c r="E23" s="2" t="s">
        <v>43</v>
      </c>
    </row>
    <row r="24" customFormat="false" ht="15" hidden="false" customHeight="false" outlineLevel="0" collapsed="false">
      <c r="A24" s="2" t="s">
        <v>73</v>
      </c>
      <c r="B24" s="2" t="s">
        <v>74</v>
      </c>
      <c r="C24" s="2" t="s">
        <v>110</v>
      </c>
      <c r="D24" s="2" t="s">
        <v>81</v>
      </c>
      <c r="E24" s="2" t="s">
        <v>82</v>
      </c>
    </row>
    <row r="25" customFormat="false" ht="15" hidden="false" customHeight="false" outlineLevel="0" collapsed="false">
      <c r="A25" s="2" t="s">
        <v>73</v>
      </c>
      <c r="B25" s="2" t="s">
        <v>74</v>
      </c>
      <c r="C25" s="2" t="s">
        <v>111</v>
      </c>
      <c r="D25" s="2" t="s">
        <v>77</v>
      </c>
      <c r="E25" s="2" t="s">
        <v>78</v>
      </c>
    </row>
    <row r="26" customFormat="false" ht="15" hidden="false" customHeight="false" outlineLevel="0" collapsed="false">
      <c r="A26" s="2" t="s">
        <v>77</v>
      </c>
      <c r="B26" s="2" t="s">
        <v>78</v>
      </c>
      <c r="C26" s="2" t="s">
        <v>117</v>
      </c>
      <c r="D26" s="2" t="s">
        <v>38</v>
      </c>
      <c r="E26" s="2" t="s">
        <v>39</v>
      </c>
    </row>
    <row r="27" customFormat="false" ht="15" hidden="false" customHeight="false" outlineLevel="0" collapsed="false">
      <c r="A27" s="2" t="s">
        <v>77</v>
      </c>
      <c r="B27" s="2" t="s">
        <v>78</v>
      </c>
      <c r="C27" s="2" t="s">
        <v>117</v>
      </c>
      <c r="D27" s="2" t="s">
        <v>42</v>
      </c>
      <c r="E27" s="2" t="s">
        <v>43</v>
      </c>
    </row>
    <row r="28" customFormat="false" ht="15" hidden="false" customHeight="false" outlineLevel="0" collapsed="false">
      <c r="A28" s="2" t="s">
        <v>23</v>
      </c>
      <c r="B28" s="2" t="s">
        <v>24</v>
      </c>
      <c r="C28" s="2" t="s">
        <v>118</v>
      </c>
      <c r="D28" s="2" t="s">
        <v>42</v>
      </c>
      <c r="E28" s="2" t="s">
        <v>43</v>
      </c>
    </row>
    <row r="29" customFormat="false" ht="15" hidden="false" customHeight="false" outlineLevel="0" collapsed="false">
      <c r="A29" s="2" t="s">
        <v>23</v>
      </c>
      <c r="B29" s="2" t="s">
        <v>24</v>
      </c>
      <c r="C29" s="2" t="s">
        <v>119</v>
      </c>
      <c r="D29" s="2" t="s">
        <v>38</v>
      </c>
      <c r="E29" s="2" t="s">
        <v>39</v>
      </c>
    </row>
    <row r="30" customFormat="false" ht="15" hidden="false" customHeight="false" outlineLevel="0" collapsed="false">
      <c r="A30" s="2" t="s">
        <v>26</v>
      </c>
      <c r="B30" s="2" t="s">
        <v>27</v>
      </c>
      <c r="C30" s="2" t="s">
        <v>120</v>
      </c>
      <c r="D30" s="2" t="s">
        <v>46</v>
      </c>
      <c r="E30" s="2" t="s">
        <v>47</v>
      </c>
    </row>
    <row r="31" customFormat="false" ht="15" hidden="false" customHeight="false" outlineLevel="0" collapsed="false">
      <c r="A31" s="2" t="s">
        <v>46</v>
      </c>
      <c r="B31" s="2" t="s">
        <v>47</v>
      </c>
      <c r="C31" s="2" t="s">
        <v>121</v>
      </c>
      <c r="D31" s="2" t="s">
        <v>42</v>
      </c>
      <c r="E31" s="2" t="s">
        <v>43</v>
      </c>
    </row>
    <row r="32" customFormat="false" ht="15" hidden="false" customHeight="false" outlineLevel="0" collapsed="false">
      <c r="A32" s="2" t="s">
        <v>46</v>
      </c>
      <c r="B32" s="2" t="s">
        <v>47</v>
      </c>
      <c r="C32" s="2" t="s">
        <v>121</v>
      </c>
      <c r="D32" s="2" t="s">
        <v>50</v>
      </c>
      <c r="E32" s="2" t="s">
        <v>51</v>
      </c>
    </row>
    <row r="33" customFormat="false" ht="15" hidden="false" customHeight="false" outlineLevel="0" collapsed="false">
      <c r="A33" s="2" t="s">
        <v>46</v>
      </c>
      <c r="B33" s="2" t="s">
        <v>47</v>
      </c>
      <c r="C33" s="2" t="s">
        <v>109</v>
      </c>
      <c r="D33" s="2" t="s">
        <v>85</v>
      </c>
      <c r="E33" s="2" t="s">
        <v>86</v>
      </c>
    </row>
    <row r="34" customFormat="false" ht="15" hidden="false" customHeight="false" outlineLevel="0" collapsed="false">
      <c r="A34" s="2" t="s">
        <v>59</v>
      </c>
      <c r="B34" s="2" t="s">
        <v>60</v>
      </c>
      <c r="C34" s="2" t="s">
        <v>122</v>
      </c>
      <c r="D34" s="2" t="s">
        <v>89</v>
      </c>
      <c r="E34" s="2" t="s">
        <v>90</v>
      </c>
    </row>
    <row r="35" customFormat="false" ht="15" hidden="false" customHeight="false" outlineLevel="0" collapsed="false">
      <c r="A35" s="2" t="s">
        <v>73</v>
      </c>
      <c r="B35" s="2" t="s">
        <v>74</v>
      </c>
      <c r="C35" s="2" t="s">
        <v>122</v>
      </c>
      <c r="D35" s="2" t="s">
        <v>89</v>
      </c>
      <c r="E35" s="2" t="s">
        <v>90</v>
      </c>
    </row>
    <row r="36" customFormat="false" ht="15" hidden="false" customHeight="false" outlineLevel="0" collapsed="false">
      <c r="A36" s="2" t="s">
        <v>46</v>
      </c>
      <c r="B36" s="2" t="s">
        <v>47</v>
      </c>
      <c r="C36" s="2" t="s">
        <v>122</v>
      </c>
      <c r="D36" s="2" t="s">
        <v>89</v>
      </c>
      <c r="E36" s="2" t="s">
        <v>90</v>
      </c>
    </row>
  </sheetData>
  <autoFilter ref="A1:E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1" t="s">
        <v>2</v>
      </c>
      <c r="B1" s="1" t="s">
        <v>123</v>
      </c>
      <c r="C1" s="1" t="s">
        <v>124</v>
      </c>
    </row>
    <row r="2" customFormat="false" ht="15" hidden="false" customHeight="false" outlineLevel="0" collapsed="false">
      <c r="A2" s="2" t="s">
        <v>9</v>
      </c>
      <c r="B2" s="2" t="n">
        <f aca="false">COUNTIF('Object Register'!$C$2:$C$23,$A2)</f>
        <v>6</v>
      </c>
      <c r="C2" s="4" t="n">
        <f aca="false">IFERROR(B2/SUM($B$2:$B$4),0)</f>
        <v>0.272727272727273</v>
      </c>
    </row>
    <row r="3" customFormat="false" ht="15" hidden="false" customHeight="false" outlineLevel="0" collapsed="false">
      <c r="A3" s="2" t="s">
        <v>31</v>
      </c>
      <c r="B3" s="2" t="n">
        <f aca="false">COUNTIF('Object Register'!$C$2:$C$23,$A3)</f>
        <v>6</v>
      </c>
      <c r="C3" s="4" t="n">
        <f aca="false">IFERROR(B3/SUM($B$2:$B$4),0)</f>
        <v>0.272727272727273</v>
      </c>
    </row>
    <row r="4" customFormat="false" ht="15" hidden="false" customHeight="false" outlineLevel="0" collapsed="false">
      <c r="A4" s="2" t="s">
        <v>56</v>
      </c>
      <c r="B4" s="2" t="n">
        <f aca="false">COUNTIF('Object Register'!$C$2:$C$23,$A4)</f>
        <v>10</v>
      </c>
      <c r="C4" s="4" t="n">
        <f aca="false">IFERROR(B4/SUM($B$2:$B$4),0)</f>
        <v>0.454545454545455</v>
      </c>
    </row>
    <row r="5" customFormat="false" ht="15" hidden="false" customHeight="false" outlineLevel="0" collapsed="false">
      <c r="A5" s="5" t="s">
        <v>125</v>
      </c>
      <c r="B5" s="5" t="n">
        <f aca="false">SUM(B2:B4)</f>
        <v>22</v>
      </c>
      <c r="C5" s="6" t="n">
        <f aca="false">SUM(C2:C4)</f>
        <v>1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6.15" hidden="false" customHeight="false" outlineLevel="0" collapsed="false">
      <c r="A1" s="7" t="s">
        <v>126</v>
      </c>
    </row>
    <row r="3" customFormat="false" ht="15" hidden="false" customHeight="false" outlineLevel="0" collapsed="false">
      <c r="A3" s="5" t="s">
        <v>127</v>
      </c>
    </row>
    <row r="4" customFormat="false" ht="15" hidden="false" customHeight="false" outlineLevel="0" collapsed="false">
      <c r="A4" s="8" t="s">
        <v>128</v>
      </c>
      <c r="B4" s="9" t="s">
        <v>129</v>
      </c>
    </row>
    <row r="5" customFormat="false" ht="23.85" hidden="false" customHeight="false" outlineLevel="0" collapsed="false">
      <c r="A5" s="8" t="s">
        <v>130</v>
      </c>
      <c r="B5" s="9" t="s">
        <v>131</v>
      </c>
    </row>
    <row r="6" customFormat="false" ht="23.85" hidden="false" customHeight="false" outlineLevel="0" collapsed="false">
      <c r="A6" s="8" t="s">
        <v>132</v>
      </c>
      <c r="B6" s="9" t="s">
        <v>133</v>
      </c>
    </row>
    <row r="7" customFormat="false" ht="15" hidden="false" customHeight="false" outlineLevel="0" collapsed="false">
      <c r="A7" s="8" t="s">
        <v>134</v>
      </c>
      <c r="B7" s="9" t="s">
        <v>135</v>
      </c>
    </row>
    <row r="8" customFormat="false" ht="15" hidden="false" customHeight="false" outlineLevel="0" collapsed="false">
      <c r="A8" s="5"/>
    </row>
    <row r="9" customFormat="false" ht="15" hidden="false" customHeight="false" outlineLevel="0" collapsed="false">
      <c r="A9" s="5" t="s">
        <v>136</v>
      </c>
    </row>
    <row r="10" customFormat="false" ht="15" hidden="false" customHeight="false" outlineLevel="0" collapsed="false">
      <c r="A10" s="8" t="s">
        <v>137</v>
      </c>
      <c r="B10" s="9" t="s">
        <v>138</v>
      </c>
    </row>
    <row r="11" customFormat="false" ht="15" hidden="false" customHeight="false" outlineLevel="0" collapsed="false">
      <c r="A11" s="8" t="s">
        <v>139</v>
      </c>
      <c r="B11" s="9" t="s">
        <v>140</v>
      </c>
    </row>
    <row r="12" customFormat="false" ht="15" hidden="false" customHeight="false" outlineLevel="0" collapsed="false">
      <c r="A12" s="8" t="s">
        <v>141</v>
      </c>
      <c r="B12" s="9" t="s">
        <v>142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 t="s">
        <v>143</v>
      </c>
    </row>
    <row r="15" customFormat="false" ht="15" hidden="false" customHeight="false" outlineLevel="0" collapsed="false">
      <c r="A15" s="8" t="s">
        <v>144</v>
      </c>
      <c r="B15" s="9" t="s">
        <v>145</v>
      </c>
    </row>
    <row r="16" customFormat="false" ht="15" hidden="false" customHeight="false" outlineLevel="0" collapsed="false">
      <c r="A16" s="8" t="s">
        <v>146</v>
      </c>
      <c r="B16" s="9" t="s">
        <v>147</v>
      </c>
    </row>
    <row r="17" customFormat="false" ht="15" hidden="false" customHeight="false" outlineLevel="0" collapsed="false">
      <c r="A17" s="8" t="s">
        <v>148</v>
      </c>
      <c r="B17" s="9" t="s">
        <v>149</v>
      </c>
    </row>
    <row r="18" customFormat="false" ht="23.85" hidden="false" customHeight="false" outlineLevel="0" collapsed="false">
      <c r="A18" s="8" t="s">
        <v>150</v>
      </c>
      <c r="B18" s="9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2026-09-15T05:52:48Z</dcterms:created>
  <dc:creator>openpyxl</dc:creator>
  <dc:description/>
  <dc:language>en-US</dc:language>
  <cp:lastModifiedBy/>
  <dcterms:modified xsi:type="dcterms:W3CDTF">2026-09-15T05:52:48Z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