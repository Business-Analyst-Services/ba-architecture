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ge Register" sheetId="1" state="visible" r:id="rId3"/>
    <sheet name="Stage Capabilities" sheetId="2" state="visible" r:id="rId4"/>
    <sheet name="Metrics" sheetId="3" state="visible" r:id="rId5"/>
    <sheet name="Read Me" sheetId="4" state="visible" r:id="rId6"/>
  </sheets>
  <definedNames>
    <definedName function="false" hidden="true" localSheetId="2" name="_xlnm._FilterDatabase" vbProcedure="false">Metrics!$A$1:$C$14</definedName>
    <definedName function="false" hidden="true" localSheetId="1" name="_xlnm._FilterDatabase" vbProcedure="false">'Stage Capabilities'!$A$1:$F$47</definedName>
    <definedName function="false" hidden="true" localSheetId="0" name="_xlnm._FilterDatabase" vbProcedure="false">'Stage Register'!$A$1:$I$7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<sst xmlns="http://schemas.openxmlformats.org/spreadsheetml/2006/main" count="408" uniqueCount="217">
  <si>
    <t xml:space="preserve">ID</t>
  </si>
  <si>
    <t xml:space="preserve">Seq</t>
  </si>
  <si>
    <t xml:space="preserve">Stage</t>
  </si>
  <si>
    <t xml:space="preserve">Entry State</t>
  </si>
  <si>
    <t xml:space="preserve">Exit State</t>
  </si>
  <si>
    <t xml:space="preserve">Advances Object</t>
  </si>
  <si>
    <t xml:space="preserve">Outcome</t>
  </si>
  <si>
    <t xml:space="preserve">Caps</t>
  </si>
  <si>
    <t xml:space="preserve">Roles</t>
  </si>
  <si>
    <t xml:space="preserve">VS1-S1</t>
  </si>
  <si>
    <t xml:space="preserve">Attract &amp; Qualify</t>
  </si>
  <si>
    <t xml:space="preserve">Market signal or unqualified need exists</t>
  </si>
  <si>
    <t xml:space="preserve">Qualified opportunity with an agreed scope</t>
  </si>
  <si>
    <t xml:space="preserve">Opportunity</t>
  </si>
  <si>
    <t xml:space="preserve">Demand is qualified against the service portfolio before effort is spent on a proposal.</t>
  </si>
  <si>
    <t xml:space="preserve">Marketing Lead · Practice Lead</t>
  </si>
  <si>
    <t xml:space="preserve">VS1-S2</t>
  </si>
  <si>
    <t xml:space="preserve">Propose &amp; Contract</t>
  </si>
  <si>
    <t xml:space="preserve">Qualified opportunity</t>
  </si>
  <si>
    <t xml:space="preserve">Signed SOW with terms set and a named delivery team</t>
  </si>
  <si>
    <t xml:space="preserve">Contract</t>
  </si>
  <si>
    <t xml:space="preserve">Scope, price and capacity are agreed before delivery is committed.</t>
  </si>
  <si>
    <t xml:space="preserve">Practice Lead · Engagement Sponsor</t>
  </si>
  <si>
    <t xml:space="preserve">VS1-S3</t>
  </si>
  <si>
    <t xml:space="preserve">Mobilise</t>
  </si>
  <si>
    <t xml:space="preserve">Signed contract</t>
  </si>
  <si>
    <t xml:space="preserve">Engagement plan agreed, stakeholders mapped, methodology and tooling in place</t>
  </si>
  <si>
    <t xml:space="preserve">Engagement</t>
  </si>
  <si>
    <t xml:space="preserve">The engagement starts against a known method, a mapped stakeholder set and agreed AI usage boundaries.</t>
  </si>
  <si>
    <t xml:space="preserve">Lead Business Analyst · Practice Lead · Engagement Sponsor</t>
  </si>
  <si>
    <t xml:space="preserve">VS1-S4</t>
  </si>
  <si>
    <t xml:space="preserve">Analyse &amp; Specify</t>
  </si>
  <si>
    <t xml:space="preserve">Mobilised engagement</t>
  </si>
  <si>
    <t xml:space="preserve">Traceable requirements and evaluated options accepted by the client</t>
  </si>
  <si>
    <t xml:space="preserve">Requirement</t>
  </si>
  <si>
    <t xml:space="preserve">The client's need is expressed as specified, traceable requirements with options evaluated against them.</t>
  </si>
  <si>
    <t xml:space="preserve">Lead Business Analyst · Engagement Sponsor</t>
  </si>
  <si>
    <t xml:space="preserve">VS1-S5</t>
  </si>
  <si>
    <t xml:space="preserve">Deliver &amp; Assure</t>
  </si>
  <si>
    <t xml:space="preserve">Accepted requirements</t>
  </si>
  <si>
    <t xml:space="preserve">Reviewed deliverables handed over and accepted</t>
  </si>
  <si>
    <t xml:space="preserve">Deliverable</t>
  </si>
  <si>
    <t xml:space="preserve">Deliverables meet practice standards and are formally accepted.</t>
  </si>
  <si>
    <t xml:space="preserve">VS1-S6</t>
  </si>
  <si>
    <t xml:space="preserve">Realise &amp; Reinvest</t>
  </si>
  <si>
    <t xml:space="preserve">Accepted deliverables</t>
  </si>
  <si>
    <t xml:space="preserve">Benefits assessed, invoice settled, reusable IP captured back into the practice</t>
  </si>
  <si>
    <t xml:space="preserve">Outcome &amp; Insight</t>
  </si>
  <si>
    <t xml:space="preserve">Client value is evidenced, revenue is collected, and the engagement leaves behind reusable practice IP.</t>
  </si>
  <si>
    <t xml:space="preserve">Practice Lead · Practice Administrator · Engagement Sponsor</t>
  </si>
  <si>
    <t xml:space="preserve">Stage ID</t>
  </si>
  <si>
    <t xml:space="preserve">Capability ID</t>
  </si>
  <si>
    <t xml:space="preserve">L3 Capability</t>
  </si>
  <si>
    <t xml:space="preserve">L2 Capability</t>
  </si>
  <si>
    <t xml:space="preserve">L1 Domain</t>
  </si>
  <si>
    <t xml:space="preserve">MKT-1.2</t>
  </si>
  <si>
    <t xml:space="preserve">Content Production</t>
  </si>
  <si>
    <t xml:space="preserve">Brand &amp; Content</t>
  </si>
  <si>
    <t xml:space="preserve">Market Development</t>
  </si>
  <si>
    <t xml:space="preserve">MKT-1.3</t>
  </si>
  <si>
    <t xml:space="preserve">Content Publishing</t>
  </si>
  <si>
    <t xml:space="preserve">MKT-2.2</t>
  </si>
  <si>
    <t xml:space="preserve">Campaign Delivery</t>
  </si>
  <si>
    <t xml:space="preserve">Campaign Execution</t>
  </si>
  <si>
    <t xml:space="preserve">MKT-3.1</t>
  </si>
  <si>
    <t xml:space="preserve">Lead Capture</t>
  </si>
  <si>
    <t xml:space="preserve">Lead Management</t>
  </si>
  <si>
    <t xml:space="preserve">MKT-3.2</t>
  </si>
  <si>
    <t xml:space="preserve">Lead Nurture</t>
  </si>
  <si>
    <t xml:space="preserve">MKT-3.3</t>
  </si>
  <si>
    <t xml:space="preserve">Lead Conversion</t>
  </si>
  <si>
    <t xml:space="preserve">CEA-1.1</t>
  </si>
  <si>
    <t xml:space="preserve">Enquiry Triage</t>
  </si>
  <si>
    <t xml:space="preserve">Opportunity Qualification</t>
  </si>
  <si>
    <t xml:space="preserve">Client Engagement &amp; Advisory</t>
  </si>
  <si>
    <t xml:space="preserve">CEA-1.2</t>
  </si>
  <si>
    <t xml:space="preserve">Needs Assessment</t>
  </si>
  <si>
    <t xml:space="preserve">CEA-1.3</t>
  </si>
  <si>
    <t xml:space="preserve">Proposal Development</t>
  </si>
  <si>
    <t xml:space="preserve">CEA-2.1</t>
  </si>
  <si>
    <t xml:space="preserve">Statement of Work Agreement</t>
  </si>
  <si>
    <t xml:space="preserve">Engagement Contracting</t>
  </si>
  <si>
    <t xml:space="preserve">CEA-2.2</t>
  </si>
  <si>
    <t xml:space="preserve">Commercial Terms Setting</t>
  </si>
  <si>
    <t xml:space="preserve">PSG-1.3</t>
  </si>
  <si>
    <t xml:space="preserve">Pricing &amp; Packaging</t>
  </si>
  <si>
    <t xml:space="preserve">Practice Strategy &amp; Positioning</t>
  </si>
  <si>
    <t xml:space="preserve">Practice Strategy &amp; Governance</t>
  </si>
  <si>
    <t xml:space="preserve">OPS-2.1</t>
  </si>
  <si>
    <t xml:space="preserve">Capacity Planning</t>
  </si>
  <si>
    <t xml:space="preserve">Resourcing &amp; Capacity</t>
  </si>
  <si>
    <t xml:space="preserve">Business Operations</t>
  </si>
  <si>
    <t xml:space="preserve">OPS-2.2</t>
  </si>
  <si>
    <t xml:space="preserve">Associate &amp; Contractor Sourcing</t>
  </si>
  <si>
    <t xml:space="preserve">CEA-4.1</t>
  </si>
  <si>
    <t xml:space="preserve">Engagement Planning</t>
  </si>
  <si>
    <t xml:space="preserve">Engagement Governance</t>
  </si>
  <si>
    <t xml:space="preserve">CEA-3.1</t>
  </si>
  <si>
    <t xml:space="preserve">Stakeholder Analysis</t>
  </si>
  <si>
    <t xml:space="preserve">Business Analysis Delivery</t>
  </si>
  <si>
    <t xml:space="preserve">PSG-2.1</t>
  </si>
  <si>
    <t xml:space="preserve">Methodology Definition</t>
  </si>
  <si>
    <t xml:space="preserve">Methodology Stewardship</t>
  </si>
  <si>
    <t xml:space="preserve">PSG-2.2</t>
  </si>
  <si>
    <t xml:space="preserve">Framework Mapping &amp; Alignment</t>
  </si>
  <si>
    <t xml:space="preserve">PSG-4.1</t>
  </si>
  <si>
    <t xml:space="preserve">AI Usage Policy Management</t>
  </si>
  <si>
    <t xml:space="preserve">AI Governance &amp; Ethics</t>
  </si>
  <si>
    <t xml:space="preserve">PLT-4.1</t>
  </si>
  <si>
    <t xml:space="preserve">Identity &amp; Access Management</t>
  </si>
  <si>
    <t xml:space="preserve">Security &amp; Access</t>
  </si>
  <si>
    <t xml:space="preserve">Platform &amp; Technology</t>
  </si>
  <si>
    <t xml:space="preserve">CEA-3.2</t>
  </si>
  <si>
    <t xml:space="preserve">Requirements Elicitation</t>
  </si>
  <si>
    <t xml:space="preserve">CEA-3.3</t>
  </si>
  <si>
    <t xml:space="preserve">Requirements Specification</t>
  </si>
  <si>
    <t xml:space="preserve">CEA-3.4</t>
  </si>
  <si>
    <t xml:space="preserve">Process &amp; Capability Modelling</t>
  </si>
  <si>
    <t xml:space="preserve">CEA-3.5</t>
  </si>
  <si>
    <t xml:space="preserve">Solution Option Analysis</t>
  </si>
  <si>
    <t xml:space="preserve">CEA-3.6</t>
  </si>
  <si>
    <t xml:space="preserve">Traceability Management</t>
  </si>
  <si>
    <t xml:space="preserve">KID-1.1</t>
  </si>
  <si>
    <t xml:space="preserve">Market &amp; Vendor Research</t>
  </si>
  <si>
    <t xml:space="preserve">Research &amp; Insight</t>
  </si>
  <si>
    <t xml:space="preserve">Knowledge &amp; IP Development</t>
  </si>
  <si>
    <t xml:space="preserve">KID-1.2</t>
  </si>
  <si>
    <t xml:space="preserve">Practice Research</t>
  </si>
  <si>
    <t xml:space="preserve">PSG-4.2</t>
  </si>
  <si>
    <t xml:space="preserve">AI Output Assurance</t>
  </si>
  <si>
    <t xml:space="preserve">PSG-3.1</t>
  </si>
  <si>
    <t xml:space="preserve">Deliverable Review</t>
  </si>
  <si>
    <t xml:space="preserve">Quality Assurance</t>
  </si>
  <si>
    <t xml:space="preserve">PSG-3.2</t>
  </si>
  <si>
    <t xml:space="preserve">Practice Standards Management</t>
  </si>
  <si>
    <t xml:space="preserve">CEA-4.2</t>
  </si>
  <si>
    <t xml:space="preserve">Progress &amp; Status Reporting</t>
  </si>
  <si>
    <t xml:space="preserve">CEA-4.3</t>
  </si>
  <si>
    <t xml:space="preserve">Risk &amp; Issue Management</t>
  </si>
  <si>
    <t xml:space="preserve">CEA-4.4</t>
  </si>
  <si>
    <t xml:space="preserve">Change Control</t>
  </si>
  <si>
    <t xml:space="preserve">CEA-5.1</t>
  </si>
  <si>
    <t xml:space="preserve">Deliverable Handover</t>
  </si>
  <si>
    <t xml:space="preserve">Closure &amp; Benefits Realisation</t>
  </si>
  <si>
    <t xml:space="preserve">CEA-5.2</t>
  </si>
  <si>
    <t xml:space="preserve">Benefits Assessment</t>
  </si>
  <si>
    <t xml:space="preserve">CEA-5.3</t>
  </si>
  <si>
    <t xml:space="preserve">Engagement Retrospective</t>
  </si>
  <si>
    <t xml:space="preserve">OPS-1.1</t>
  </si>
  <si>
    <t xml:space="preserve">Invoicing</t>
  </si>
  <si>
    <t xml:space="preserve">Finance &amp; Billing</t>
  </si>
  <si>
    <t xml:space="preserve">OPS-1.2</t>
  </si>
  <si>
    <t xml:space="preserve">Payment Collection</t>
  </si>
  <si>
    <t xml:space="preserve">OPS-1.3</t>
  </si>
  <si>
    <t xml:space="preserve">Financial Reporting</t>
  </si>
  <si>
    <t xml:space="preserve">KID-3.1</t>
  </si>
  <si>
    <t xml:space="preserve">Playbook Design</t>
  </si>
  <si>
    <t xml:space="preserve">Playbook &amp; Asset Development</t>
  </si>
  <si>
    <t xml:space="preserve">KID-3.2</t>
  </si>
  <si>
    <t xml:space="preserve">Template &amp; Tool Development</t>
  </si>
  <si>
    <t xml:space="preserve">KID-3.3</t>
  </si>
  <si>
    <t xml:space="preserve">Visual Asset Production</t>
  </si>
  <si>
    <t xml:space="preserve">KID-4.1</t>
  </si>
  <si>
    <t xml:space="preserve">IP Versioning</t>
  </si>
  <si>
    <t xml:space="preserve">IP Lifecycle Management</t>
  </si>
  <si>
    <t xml:space="preserve">KID-4.2</t>
  </si>
  <si>
    <t xml:space="preserve">IP Licensing &amp; Rights</t>
  </si>
  <si>
    <t xml:space="preserve">OPS-4.1</t>
  </si>
  <si>
    <t xml:space="preserve">Records Management</t>
  </si>
  <si>
    <t xml:space="preserve">Compliance &amp; Records</t>
  </si>
  <si>
    <t xml:space="preserve">OPS-4.2</t>
  </si>
  <si>
    <t xml:space="preserve">Regulatory Compliance</t>
  </si>
  <si>
    <t xml:space="preserve">Metric</t>
  </si>
  <si>
    <t xml:space="preserve">Enquiry-to-qualified conversion rate</t>
  </si>
  <si>
    <t xml:space="preserve">Time from first contact to qualification</t>
  </si>
  <si>
    <t xml:space="preserve">Proposal win rate</t>
  </si>
  <si>
    <t xml:space="preserve">Proposal turnaround time</t>
  </si>
  <si>
    <t xml:space="preserve">Days from signature to first working session</t>
  </si>
  <si>
    <t xml:space="preserve">Stakeholder map completeness</t>
  </si>
  <si>
    <t xml:space="preserve">Requirements volatility after acceptance</t>
  </si>
  <si>
    <t xml:space="preserve">Traceability coverage</t>
  </si>
  <si>
    <t xml:space="preserve">First-pass acceptance rate</t>
  </si>
  <si>
    <t xml:space="preserve">Defects found after handover</t>
  </si>
  <si>
    <t xml:space="preserve">Benefits evidenced vs claimed</t>
  </si>
  <si>
    <t xml:space="preserve">Days sales outstanding</t>
  </si>
  <si>
    <t xml:space="preserve">Reusable assets harvested per engagement</t>
  </si>
  <si>
    <t xml:space="preserve">BAS Value Stream — Client Need to Realised Benefit</t>
  </si>
  <si>
    <t xml:space="preserve">About this workbook</t>
  </si>
  <si>
    <t xml:space="preserve">Value stream</t>
  </si>
  <si>
    <t xml:space="preserve">Client Need to Realised Benefit</t>
  </si>
  <si>
    <t xml:space="preserve">Trigger</t>
  </si>
  <si>
    <t xml:space="preserve">A market signal or client need is identified</t>
  </si>
  <si>
    <t xml:space="preserve">Value proposition</t>
  </si>
  <si>
    <t xml:space="preserve">A client capability gap is closed with traceable, assured business analysis, and the practice gains reusable IP.</t>
  </si>
  <si>
    <t xml:space="preserve">Primary stakeholder</t>
  </si>
  <si>
    <t xml:space="preserve">Client</t>
  </si>
  <si>
    <t xml:space="preserve">How to read it</t>
  </si>
  <si>
    <t xml:space="preserve">Entry / Exit state</t>
  </si>
  <si>
    <t xml:space="preserve">The condition of the value item when it arrives at the stage and when it leaves. Stages are defined by state change, not by activity or department.</t>
  </si>
  <si>
    <t xml:space="preserve">The concept object that moves forward at this stage, from the companion Concept Model workbook.</t>
  </si>
  <si>
    <t xml:space="preserve">Formula count of the L3 capabilities called on at this stage.</t>
  </si>
  <si>
    <t xml:space="preserve">Tabs</t>
  </si>
  <si>
    <t xml:space="preserve">Stage Register</t>
  </si>
  <si>
    <t xml:space="preserve">The stages in sequence.</t>
  </si>
  <si>
    <t xml:space="preserve">Stage Capabilities</t>
  </si>
  <si>
    <t xml:space="preserve">Stage-to-capability mapping, one row per pair.</t>
  </si>
  <si>
    <t xml:space="preserve">Metrics</t>
  </si>
  <si>
    <t xml:space="preserve">Candidate measures per stage. These are proposed, not baselined — no current values exist.</t>
  </si>
  <si>
    <t xml:space="preserve">Provenance</t>
  </si>
  <si>
    <t xml:space="preserve">Generated</t>
  </si>
  <si>
    <t xml:space="preserve">PlausibleBA Skills Library v1.5.0</t>
  </si>
  <si>
    <t xml:space="preserve">Generated at</t>
  </si>
  <si>
    <t xml:space="preserve">2026-09-15T05:51:56Z</t>
  </si>
  <si>
    <t xml:space="preserve">Scaffold ID</t>
  </si>
  <si>
    <t xml:space="preserve">ff32d393-0683-4be7-9108-134ef7198995</t>
  </si>
  <si>
    <t xml:space="preserve">Source</t>
  </si>
  <si>
    <t xml:space="preserve">Seeded from the Phase 1 capabilities and Phase 2 objects, confirmed at checkpoint 3. Across both streams, 67 of 81 capabilities are mapped; the 14 unmapped are enabling or strategic.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</si>
</sst>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23446E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446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344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344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7" min="7" style="0" width="56"/>
    <col collapsed="false" customWidth="true" hidden="false" outlineLevel="0" max="8" min="8" style="0" width="8"/>
    <col collapsed="false" customWidth="true" hidden="false" outlineLevel="0" max="9" min="9" style="0" width="4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n">
        <v>1</v>
      </c>
      <c r="C2" s="2" t="s">
        <v>10</v>
      </c>
      <c r="D2" s="3" t="s">
        <v>11</v>
      </c>
      <c r="E2" s="3" t="s">
        <v>12</v>
      </c>
      <c r="F2" s="2" t="s">
        <v>13</v>
      </c>
      <c r="G2" s="3" t="s">
        <v>14</v>
      </c>
      <c r="H2" s="2" t="n">
        <f aca="false">COUNTIF('Stage Capabilities'!$A$2:$A$47,$A2)</f>
        <v>8</v>
      </c>
      <c r="I2" s="3" t="s">
        <v>15</v>
      </c>
    </row>
    <row r="3" customFormat="false" ht="15" hidden="false" customHeight="false" outlineLevel="0" collapsed="false">
      <c r="A3" s="2" t="s">
        <v>16</v>
      </c>
      <c r="B3" s="2" t="n">
        <v>2</v>
      </c>
      <c r="C3" s="2" t="s">
        <v>17</v>
      </c>
      <c r="D3" s="3" t="s">
        <v>18</v>
      </c>
      <c r="E3" s="3" t="s">
        <v>19</v>
      </c>
      <c r="F3" s="2" t="s">
        <v>20</v>
      </c>
      <c r="G3" s="3" t="s">
        <v>21</v>
      </c>
      <c r="H3" s="2" t="n">
        <f aca="false">COUNTIF('Stage Capabilities'!$A$2:$A$47,$A3)</f>
        <v>6</v>
      </c>
      <c r="I3" s="3" t="s">
        <v>22</v>
      </c>
    </row>
    <row r="4" customFormat="false" ht="23.85" hidden="false" customHeight="false" outlineLevel="0" collapsed="false">
      <c r="A4" s="2" t="s">
        <v>23</v>
      </c>
      <c r="B4" s="2" t="n">
        <v>3</v>
      </c>
      <c r="C4" s="2" t="s">
        <v>24</v>
      </c>
      <c r="D4" s="3" t="s">
        <v>25</v>
      </c>
      <c r="E4" s="3" t="s">
        <v>26</v>
      </c>
      <c r="F4" s="2" t="s">
        <v>27</v>
      </c>
      <c r="G4" s="3" t="s">
        <v>28</v>
      </c>
      <c r="H4" s="2" t="n">
        <f aca="false">COUNTIF('Stage Capabilities'!$A$2:$A$47,$A4)</f>
        <v>6</v>
      </c>
      <c r="I4" s="3" t="s">
        <v>29</v>
      </c>
    </row>
    <row r="5" customFormat="false" ht="23.85" hidden="false" customHeight="false" outlineLevel="0" collapsed="false">
      <c r="A5" s="2" t="s">
        <v>30</v>
      </c>
      <c r="B5" s="2" t="n">
        <v>4</v>
      </c>
      <c r="C5" s="2" t="s">
        <v>31</v>
      </c>
      <c r="D5" s="3" t="s">
        <v>32</v>
      </c>
      <c r="E5" s="3" t="s">
        <v>33</v>
      </c>
      <c r="F5" s="2" t="s">
        <v>34</v>
      </c>
      <c r="G5" s="3" t="s">
        <v>35</v>
      </c>
      <c r="H5" s="2" t="n">
        <f aca="false">COUNTIF('Stage Capabilities'!$A$2:$A$47,$A5)</f>
        <v>8</v>
      </c>
      <c r="I5" s="3" t="s">
        <v>36</v>
      </c>
    </row>
    <row r="6" customFormat="false" ht="23.85" hidden="false" customHeight="false" outlineLevel="0" collapsed="false">
      <c r="A6" s="2" t="s">
        <v>37</v>
      </c>
      <c r="B6" s="2" t="n">
        <v>5</v>
      </c>
      <c r="C6" s="2" t="s">
        <v>38</v>
      </c>
      <c r="D6" s="3" t="s">
        <v>39</v>
      </c>
      <c r="E6" s="3" t="s">
        <v>40</v>
      </c>
      <c r="F6" s="2" t="s">
        <v>41</v>
      </c>
      <c r="G6" s="3" t="s">
        <v>42</v>
      </c>
      <c r="H6" s="2" t="n">
        <f aca="false">COUNTIF('Stage Capabilities'!$A$2:$A$47,$A6)</f>
        <v>6</v>
      </c>
      <c r="I6" s="3" t="s">
        <v>29</v>
      </c>
    </row>
    <row r="7" customFormat="false" ht="23.85" hidden="false" customHeight="false" outlineLevel="0" collapsed="false">
      <c r="A7" s="2" t="s">
        <v>43</v>
      </c>
      <c r="B7" s="2" t="n">
        <v>6</v>
      </c>
      <c r="C7" s="2" t="s">
        <v>44</v>
      </c>
      <c r="D7" s="3" t="s">
        <v>45</v>
      </c>
      <c r="E7" s="3" t="s">
        <v>46</v>
      </c>
      <c r="F7" s="2" t="s">
        <v>47</v>
      </c>
      <c r="G7" s="3" t="s">
        <v>48</v>
      </c>
      <c r="H7" s="2" t="n">
        <f aca="false">COUNTIF('Stage Capabilities'!$A$2:$A$47,$A7)</f>
        <v>12</v>
      </c>
      <c r="I7" s="3" t="s">
        <v>49</v>
      </c>
    </row>
  </sheetData>
  <autoFilter ref="A1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30"/>
  </cols>
  <sheetData>
    <row r="1" customFormat="false" ht="25.5" hidden="false" customHeight="true" outlineLevel="0" collapsed="false">
      <c r="A1" s="1" t="s">
        <v>50</v>
      </c>
      <c r="B1" s="1" t="s">
        <v>2</v>
      </c>
      <c r="C1" s="1" t="s">
        <v>51</v>
      </c>
      <c r="D1" s="1" t="s">
        <v>52</v>
      </c>
      <c r="E1" s="1" t="s">
        <v>53</v>
      </c>
      <c r="F1" s="1" t="s">
        <v>54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55</v>
      </c>
      <c r="D2" s="3" t="s">
        <v>56</v>
      </c>
      <c r="E2" s="3" t="s">
        <v>57</v>
      </c>
      <c r="F2" s="3" t="s">
        <v>58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59</v>
      </c>
      <c r="D3" s="3" t="s">
        <v>60</v>
      </c>
      <c r="E3" s="3" t="s">
        <v>57</v>
      </c>
      <c r="F3" s="3" t="s">
        <v>58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61</v>
      </c>
      <c r="D4" s="3" t="s">
        <v>62</v>
      </c>
      <c r="E4" s="3" t="s">
        <v>63</v>
      </c>
      <c r="F4" s="3" t="s">
        <v>58</v>
      </c>
    </row>
    <row r="5" customFormat="false" ht="15" hidden="false" customHeight="false" outlineLevel="0" collapsed="false">
      <c r="A5" s="2" t="s">
        <v>9</v>
      </c>
      <c r="B5" s="2" t="s">
        <v>10</v>
      </c>
      <c r="C5" s="2" t="s">
        <v>64</v>
      </c>
      <c r="D5" s="3" t="s">
        <v>65</v>
      </c>
      <c r="E5" s="3" t="s">
        <v>66</v>
      </c>
      <c r="F5" s="3" t="s">
        <v>58</v>
      </c>
    </row>
    <row r="6" customFormat="false" ht="15" hidden="false" customHeight="false" outlineLevel="0" collapsed="false">
      <c r="A6" s="2" t="s">
        <v>9</v>
      </c>
      <c r="B6" s="2" t="s">
        <v>10</v>
      </c>
      <c r="C6" s="2" t="s">
        <v>67</v>
      </c>
      <c r="D6" s="3" t="s">
        <v>68</v>
      </c>
      <c r="E6" s="3" t="s">
        <v>66</v>
      </c>
      <c r="F6" s="3" t="s">
        <v>58</v>
      </c>
    </row>
    <row r="7" customFormat="false" ht="15" hidden="false" customHeight="false" outlineLevel="0" collapsed="false">
      <c r="A7" s="2" t="s">
        <v>9</v>
      </c>
      <c r="B7" s="2" t="s">
        <v>10</v>
      </c>
      <c r="C7" s="2" t="s">
        <v>69</v>
      </c>
      <c r="D7" s="3" t="s">
        <v>70</v>
      </c>
      <c r="E7" s="3" t="s">
        <v>66</v>
      </c>
      <c r="F7" s="3" t="s">
        <v>58</v>
      </c>
    </row>
    <row r="8" customFormat="false" ht="15" hidden="false" customHeight="false" outlineLevel="0" collapsed="false">
      <c r="A8" s="2" t="s">
        <v>9</v>
      </c>
      <c r="B8" s="2" t="s">
        <v>10</v>
      </c>
      <c r="C8" s="2" t="s">
        <v>71</v>
      </c>
      <c r="D8" s="3" t="s">
        <v>72</v>
      </c>
      <c r="E8" s="3" t="s">
        <v>73</v>
      </c>
      <c r="F8" s="3" t="s">
        <v>74</v>
      </c>
    </row>
    <row r="9" customFormat="false" ht="15" hidden="false" customHeight="false" outlineLevel="0" collapsed="false">
      <c r="A9" s="2" t="s">
        <v>9</v>
      </c>
      <c r="B9" s="2" t="s">
        <v>10</v>
      </c>
      <c r="C9" s="2" t="s">
        <v>75</v>
      </c>
      <c r="D9" s="3" t="s">
        <v>76</v>
      </c>
      <c r="E9" s="3" t="s">
        <v>73</v>
      </c>
      <c r="F9" s="3" t="s">
        <v>74</v>
      </c>
    </row>
    <row r="10" customFormat="false" ht="15" hidden="false" customHeight="false" outlineLevel="0" collapsed="false">
      <c r="A10" s="2" t="s">
        <v>16</v>
      </c>
      <c r="B10" s="2" t="s">
        <v>17</v>
      </c>
      <c r="C10" s="2" t="s">
        <v>77</v>
      </c>
      <c r="D10" s="3" t="s">
        <v>78</v>
      </c>
      <c r="E10" s="3" t="s">
        <v>73</v>
      </c>
      <c r="F10" s="3" t="s">
        <v>74</v>
      </c>
    </row>
    <row r="11" customFormat="false" ht="15" hidden="false" customHeight="false" outlineLevel="0" collapsed="false">
      <c r="A11" s="2" t="s">
        <v>16</v>
      </c>
      <c r="B11" s="2" t="s">
        <v>17</v>
      </c>
      <c r="C11" s="2" t="s">
        <v>79</v>
      </c>
      <c r="D11" s="3" t="s">
        <v>80</v>
      </c>
      <c r="E11" s="3" t="s">
        <v>81</v>
      </c>
      <c r="F11" s="3" t="s">
        <v>74</v>
      </c>
    </row>
    <row r="12" customFormat="false" ht="15" hidden="false" customHeight="false" outlineLevel="0" collapsed="false">
      <c r="A12" s="2" t="s">
        <v>16</v>
      </c>
      <c r="B12" s="2" t="s">
        <v>17</v>
      </c>
      <c r="C12" s="2" t="s">
        <v>82</v>
      </c>
      <c r="D12" s="3" t="s">
        <v>83</v>
      </c>
      <c r="E12" s="3" t="s">
        <v>81</v>
      </c>
      <c r="F12" s="3" t="s">
        <v>74</v>
      </c>
    </row>
    <row r="13" customFormat="false" ht="15" hidden="false" customHeight="false" outlineLevel="0" collapsed="false">
      <c r="A13" s="2" t="s">
        <v>16</v>
      </c>
      <c r="B13" s="2" t="s">
        <v>17</v>
      </c>
      <c r="C13" s="2" t="s">
        <v>84</v>
      </c>
      <c r="D13" s="3" t="s">
        <v>85</v>
      </c>
      <c r="E13" s="3" t="s">
        <v>86</v>
      </c>
      <c r="F13" s="3" t="s">
        <v>87</v>
      </c>
    </row>
    <row r="14" customFormat="false" ht="15" hidden="false" customHeight="false" outlineLevel="0" collapsed="false">
      <c r="A14" s="2" t="s">
        <v>16</v>
      </c>
      <c r="B14" s="2" t="s">
        <v>17</v>
      </c>
      <c r="C14" s="2" t="s">
        <v>88</v>
      </c>
      <c r="D14" s="3" t="s">
        <v>89</v>
      </c>
      <c r="E14" s="3" t="s">
        <v>90</v>
      </c>
      <c r="F14" s="3" t="s">
        <v>91</v>
      </c>
    </row>
    <row r="15" customFormat="false" ht="15" hidden="false" customHeight="false" outlineLevel="0" collapsed="false">
      <c r="A15" s="2" t="s">
        <v>16</v>
      </c>
      <c r="B15" s="2" t="s">
        <v>17</v>
      </c>
      <c r="C15" s="2" t="s">
        <v>92</v>
      </c>
      <c r="D15" s="3" t="s">
        <v>93</v>
      </c>
      <c r="E15" s="3" t="s">
        <v>90</v>
      </c>
      <c r="F15" s="3" t="s">
        <v>91</v>
      </c>
    </row>
    <row r="16" customFormat="false" ht="15" hidden="false" customHeight="false" outlineLevel="0" collapsed="false">
      <c r="A16" s="2" t="s">
        <v>23</v>
      </c>
      <c r="B16" s="2" t="s">
        <v>24</v>
      </c>
      <c r="C16" s="2" t="s">
        <v>94</v>
      </c>
      <c r="D16" s="3" t="s">
        <v>95</v>
      </c>
      <c r="E16" s="3" t="s">
        <v>96</v>
      </c>
      <c r="F16" s="3" t="s">
        <v>74</v>
      </c>
    </row>
    <row r="17" customFormat="false" ht="15" hidden="false" customHeight="false" outlineLevel="0" collapsed="false">
      <c r="A17" s="2" t="s">
        <v>23</v>
      </c>
      <c r="B17" s="2" t="s">
        <v>24</v>
      </c>
      <c r="C17" s="2" t="s">
        <v>97</v>
      </c>
      <c r="D17" s="3" t="s">
        <v>98</v>
      </c>
      <c r="E17" s="3" t="s">
        <v>99</v>
      </c>
      <c r="F17" s="3" t="s">
        <v>74</v>
      </c>
    </row>
    <row r="18" customFormat="false" ht="15" hidden="false" customHeight="false" outlineLevel="0" collapsed="false">
      <c r="A18" s="2" t="s">
        <v>23</v>
      </c>
      <c r="B18" s="2" t="s">
        <v>24</v>
      </c>
      <c r="C18" s="2" t="s">
        <v>100</v>
      </c>
      <c r="D18" s="3" t="s">
        <v>101</v>
      </c>
      <c r="E18" s="3" t="s">
        <v>102</v>
      </c>
      <c r="F18" s="3" t="s">
        <v>87</v>
      </c>
    </row>
    <row r="19" customFormat="false" ht="15" hidden="false" customHeight="false" outlineLevel="0" collapsed="false">
      <c r="A19" s="2" t="s">
        <v>23</v>
      </c>
      <c r="B19" s="2" t="s">
        <v>24</v>
      </c>
      <c r="C19" s="2" t="s">
        <v>103</v>
      </c>
      <c r="D19" s="3" t="s">
        <v>104</v>
      </c>
      <c r="E19" s="3" t="s">
        <v>102</v>
      </c>
      <c r="F19" s="3" t="s">
        <v>87</v>
      </c>
    </row>
    <row r="20" customFormat="false" ht="15" hidden="false" customHeight="false" outlineLevel="0" collapsed="false">
      <c r="A20" s="2" t="s">
        <v>23</v>
      </c>
      <c r="B20" s="2" t="s">
        <v>24</v>
      </c>
      <c r="C20" s="2" t="s">
        <v>105</v>
      </c>
      <c r="D20" s="3" t="s">
        <v>106</v>
      </c>
      <c r="E20" s="3" t="s">
        <v>107</v>
      </c>
      <c r="F20" s="3" t="s">
        <v>87</v>
      </c>
    </row>
    <row r="21" customFormat="false" ht="15" hidden="false" customHeight="false" outlineLevel="0" collapsed="false">
      <c r="A21" s="2" t="s">
        <v>23</v>
      </c>
      <c r="B21" s="2" t="s">
        <v>24</v>
      </c>
      <c r="C21" s="2" t="s">
        <v>108</v>
      </c>
      <c r="D21" s="3" t="s">
        <v>109</v>
      </c>
      <c r="E21" s="3" t="s">
        <v>110</v>
      </c>
      <c r="F21" s="3" t="s">
        <v>111</v>
      </c>
    </row>
    <row r="22" customFormat="false" ht="15" hidden="false" customHeight="false" outlineLevel="0" collapsed="false">
      <c r="A22" s="2" t="s">
        <v>30</v>
      </c>
      <c r="B22" s="2" t="s">
        <v>31</v>
      </c>
      <c r="C22" s="2" t="s">
        <v>112</v>
      </c>
      <c r="D22" s="3" t="s">
        <v>113</v>
      </c>
      <c r="E22" s="3" t="s">
        <v>99</v>
      </c>
      <c r="F22" s="3" t="s">
        <v>74</v>
      </c>
    </row>
    <row r="23" customFormat="false" ht="15" hidden="false" customHeight="false" outlineLevel="0" collapsed="false">
      <c r="A23" s="2" t="s">
        <v>30</v>
      </c>
      <c r="B23" s="2" t="s">
        <v>31</v>
      </c>
      <c r="C23" s="2" t="s">
        <v>114</v>
      </c>
      <c r="D23" s="3" t="s">
        <v>115</v>
      </c>
      <c r="E23" s="3" t="s">
        <v>99</v>
      </c>
      <c r="F23" s="3" t="s">
        <v>74</v>
      </c>
    </row>
    <row r="24" customFormat="false" ht="15" hidden="false" customHeight="false" outlineLevel="0" collapsed="false">
      <c r="A24" s="2" t="s">
        <v>30</v>
      </c>
      <c r="B24" s="2" t="s">
        <v>31</v>
      </c>
      <c r="C24" s="2" t="s">
        <v>116</v>
      </c>
      <c r="D24" s="3" t="s">
        <v>117</v>
      </c>
      <c r="E24" s="3" t="s">
        <v>99</v>
      </c>
      <c r="F24" s="3" t="s">
        <v>74</v>
      </c>
    </row>
    <row r="25" customFormat="false" ht="15" hidden="false" customHeight="false" outlineLevel="0" collapsed="false">
      <c r="A25" s="2" t="s">
        <v>30</v>
      </c>
      <c r="B25" s="2" t="s">
        <v>31</v>
      </c>
      <c r="C25" s="2" t="s">
        <v>118</v>
      </c>
      <c r="D25" s="3" t="s">
        <v>119</v>
      </c>
      <c r="E25" s="3" t="s">
        <v>99</v>
      </c>
      <c r="F25" s="3" t="s">
        <v>74</v>
      </c>
    </row>
    <row r="26" customFormat="false" ht="15" hidden="false" customHeight="false" outlineLevel="0" collapsed="false">
      <c r="A26" s="2" t="s">
        <v>30</v>
      </c>
      <c r="B26" s="2" t="s">
        <v>31</v>
      </c>
      <c r="C26" s="2" t="s">
        <v>120</v>
      </c>
      <c r="D26" s="3" t="s">
        <v>121</v>
      </c>
      <c r="E26" s="3" t="s">
        <v>99</v>
      </c>
      <c r="F26" s="3" t="s">
        <v>74</v>
      </c>
    </row>
    <row r="27" customFormat="false" ht="15" hidden="false" customHeight="false" outlineLevel="0" collapsed="false">
      <c r="A27" s="2" t="s">
        <v>30</v>
      </c>
      <c r="B27" s="2" t="s">
        <v>31</v>
      </c>
      <c r="C27" s="2" t="s">
        <v>122</v>
      </c>
      <c r="D27" s="3" t="s">
        <v>123</v>
      </c>
      <c r="E27" s="3" t="s">
        <v>124</v>
      </c>
      <c r="F27" s="3" t="s">
        <v>125</v>
      </c>
    </row>
    <row r="28" customFormat="false" ht="15" hidden="false" customHeight="false" outlineLevel="0" collapsed="false">
      <c r="A28" s="2" t="s">
        <v>30</v>
      </c>
      <c r="B28" s="2" t="s">
        <v>31</v>
      </c>
      <c r="C28" s="2" t="s">
        <v>126</v>
      </c>
      <c r="D28" s="3" t="s">
        <v>127</v>
      </c>
      <c r="E28" s="3" t="s">
        <v>124</v>
      </c>
      <c r="F28" s="3" t="s">
        <v>125</v>
      </c>
    </row>
    <row r="29" customFormat="false" ht="15" hidden="false" customHeight="false" outlineLevel="0" collapsed="false">
      <c r="A29" s="2" t="s">
        <v>30</v>
      </c>
      <c r="B29" s="2" t="s">
        <v>31</v>
      </c>
      <c r="C29" s="2" t="s">
        <v>128</v>
      </c>
      <c r="D29" s="3" t="s">
        <v>129</v>
      </c>
      <c r="E29" s="3" t="s">
        <v>107</v>
      </c>
      <c r="F29" s="3" t="s">
        <v>87</v>
      </c>
    </row>
    <row r="30" customFormat="false" ht="15" hidden="false" customHeight="false" outlineLevel="0" collapsed="false">
      <c r="A30" s="2" t="s">
        <v>37</v>
      </c>
      <c r="B30" s="2" t="s">
        <v>38</v>
      </c>
      <c r="C30" s="2" t="s">
        <v>130</v>
      </c>
      <c r="D30" s="3" t="s">
        <v>131</v>
      </c>
      <c r="E30" s="3" t="s">
        <v>132</v>
      </c>
      <c r="F30" s="3" t="s">
        <v>87</v>
      </c>
    </row>
    <row r="31" customFormat="false" ht="15" hidden="false" customHeight="false" outlineLevel="0" collapsed="false">
      <c r="A31" s="2" t="s">
        <v>37</v>
      </c>
      <c r="B31" s="2" t="s">
        <v>38</v>
      </c>
      <c r="C31" s="2" t="s">
        <v>133</v>
      </c>
      <c r="D31" s="3" t="s">
        <v>134</v>
      </c>
      <c r="E31" s="3" t="s">
        <v>132</v>
      </c>
      <c r="F31" s="3" t="s">
        <v>87</v>
      </c>
    </row>
    <row r="32" customFormat="false" ht="15" hidden="false" customHeight="false" outlineLevel="0" collapsed="false">
      <c r="A32" s="2" t="s">
        <v>37</v>
      </c>
      <c r="B32" s="2" t="s">
        <v>38</v>
      </c>
      <c r="C32" s="2" t="s">
        <v>135</v>
      </c>
      <c r="D32" s="3" t="s">
        <v>136</v>
      </c>
      <c r="E32" s="3" t="s">
        <v>96</v>
      </c>
      <c r="F32" s="3" t="s">
        <v>74</v>
      </c>
    </row>
    <row r="33" customFormat="false" ht="15" hidden="false" customHeight="false" outlineLevel="0" collapsed="false">
      <c r="A33" s="2" t="s">
        <v>37</v>
      </c>
      <c r="B33" s="2" t="s">
        <v>38</v>
      </c>
      <c r="C33" s="2" t="s">
        <v>137</v>
      </c>
      <c r="D33" s="3" t="s">
        <v>138</v>
      </c>
      <c r="E33" s="3" t="s">
        <v>96</v>
      </c>
      <c r="F33" s="3" t="s">
        <v>74</v>
      </c>
    </row>
    <row r="34" customFormat="false" ht="15" hidden="false" customHeight="false" outlineLevel="0" collapsed="false">
      <c r="A34" s="2" t="s">
        <v>37</v>
      </c>
      <c r="B34" s="2" t="s">
        <v>38</v>
      </c>
      <c r="C34" s="2" t="s">
        <v>139</v>
      </c>
      <c r="D34" s="3" t="s">
        <v>140</v>
      </c>
      <c r="E34" s="3" t="s">
        <v>96</v>
      </c>
      <c r="F34" s="3" t="s">
        <v>74</v>
      </c>
    </row>
    <row r="35" customFormat="false" ht="15" hidden="false" customHeight="false" outlineLevel="0" collapsed="false">
      <c r="A35" s="2" t="s">
        <v>37</v>
      </c>
      <c r="B35" s="2" t="s">
        <v>38</v>
      </c>
      <c r="C35" s="2" t="s">
        <v>141</v>
      </c>
      <c r="D35" s="3" t="s">
        <v>142</v>
      </c>
      <c r="E35" s="3" t="s">
        <v>143</v>
      </c>
      <c r="F35" s="3" t="s">
        <v>74</v>
      </c>
    </row>
    <row r="36" customFormat="false" ht="15" hidden="false" customHeight="false" outlineLevel="0" collapsed="false">
      <c r="A36" s="2" t="s">
        <v>43</v>
      </c>
      <c r="B36" s="2" t="s">
        <v>44</v>
      </c>
      <c r="C36" s="2" t="s">
        <v>144</v>
      </c>
      <c r="D36" s="3" t="s">
        <v>145</v>
      </c>
      <c r="E36" s="3" t="s">
        <v>143</v>
      </c>
      <c r="F36" s="3" t="s">
        <v>74</v>
      </c>
    </row>
    <row r="37" customFormat="false" ht="15" hidden="false" customHeight="false" outlineLevel="0" collapsed="false">
      <c r="A37" s="2" t="s">
        <v>43</v>
      </c>
      <c r="B37" s="2" t="s">
        <v>44</v>
      </c>
      <c r="C37" s="2" t="s">
        <v>146</v>
      </c>
      <c r="D37" s="3" t="s">
        <v>147</v>
      </c>
      <c r="E37" s="3" t="s">
        <v>143</v>
      </c>
      <c r="F37" s="3" t="s">
        <v>74</v>
      </c>
    </row>
    <row r="38" customFormat="false" ht="15" hidden="false" customHeight="false" outlineLevel="0" collapsed="false">
      <c r="A38" s="2" t="s">
        <v>43</v>
      </c>
      <c r="B38" s="2" t="s">
        <v>44</v>
      </c>
      <c r="C38" s="2" t="s">
        <v>148</v>
      </c>
      <c r="D38" s="3" t="s">
        <v>149</v>
      </c>
      <c r="E38" s="3" t="s">
        <v>150</v>
      </c>
      <c r="F38" s="3" t="s">
        <v>91</v>
      </c>
    </row>
    <row r="39" customFormat="false" ht="15" hidden="false" customHeight="false" outlineLevel="0" collapsed="false">
      <c r="A39" s="2" t="s">
        <v>43</v>
      </c>
      <c r="B39" s="2" t="s">
        <v>44</v>
      </c>
      <c r="C39" s="2" t="s">
        <v>151</v>
      </c>
      <c r="D39" s="3" t="s">
        <v>152</v>
      </c>
      <c r="E39" s="3" t="s">
        <v>150</v>
      </c>
      <c r="F39" s="3" t="s">
        <v>91</v>
      </c>
    </row>
    <row r="40" customFormat="false" ht="15" hidden="false" customHeight="false" outlineLevel="0" collapsed="false">
      <c r="A40" s="2" t="s">
        <v>43</v>
      </c>
      <c r="B40" s="2" t="s">
        <v>44</v>
      </c>
      <c r="C40" s="2" t="s">
        <v>153</v>
      </c>
      <c r="D40" s="3" t="s">
        <v>154</v>
      </c>
      <c r="E40" s="3" t="s">
        <v>150</v>
      </c>
      <c r="F40" s="3" t="s">
        <v>91</v>
      </c>
    </row>
    <row r="41" customFormat="false" ht="15" hidden="false" customHeight="false" outlineLevel="0" collapsed="false">
      <c r="A41" s="2" t="s">
        <v>43</v>
      </c>
      <c r="B41" s="2" t="s">
        <v>44</v>
      </c>
      <c r="C41" s="2" t="s">
        <v>155</v>
      </c>
      <c r="D41" s="3" t="s">
        <v>156</v>
      </c>
      <c r="E41" s="3" t="s">
        <v>157</v>
      </c>
      <c r="F41" s="3" t="s">
        <v>125</v>
      </c>
    </row>
    <row r="42" customFormat="false" ht="15" hidden="false" customHeight="false" outlineLevel="0" collapsed="false">
      <c r="A42" s="2" t="s">
        <v>43</v>
      </c>
      <c r="B42" s="2" t="s">
        <v>44</v>
      </c>
      <c r="C42" s="2" t="s">
        <v>158</v>
      </c>
      <c r="D42" s="3" t="s">
        <v>159</v>
      </c>
      <c r="E42" s="3" t="s">
        <v>157</v>
      </c>
      <c r="F42" s="3" t="s">
        <v>125</v>
      </c>
    </row>
    <row r="43" customFormat="false" ht="15" hidden="false" customHeight="false" outlineLevel="0" collapsed="false">
      <c r="A43" s="2" t="s">
        <v>43</v>
      </c>
      <c r="B43" s="2" t="s">
        <v>44</v>
      </c>
      <c r="C43" s="2" t="s">
        <v>160</v>
      </c>
      <c r="D43" s="3" t="s">
        <v>161</v>
      </c>
      <c r="E43" s="3" t="s">
        <v>157</v>
      </c>
      <c r="F43" s="3" t="s">
        <v>125</v>
      </c>
    </row>
    <row r="44" customFormat="false" ht="15" hidden="false" customHeight="false" outlineLevel="0" collapsed="false">
      <c r="A44" s="2" t="s">
        <v>43</v>
      </c>
      <c r="B44" s="2" t="s">
        <v>44</v>
      </c>
      <c r="C44" s="2" t="s">
        <v>162</v>
      </c>
      <c r="D44" s="3" t="s">
        <v>163</v>
      </c>
      <c r="E44" s="3" t="s">
        <v>164</v>
      </c>
      <c r="F44" s="3" t="s">
        <v>125</v>
      </c>
    </row>
    <row r="45" customFormat="false" ht="15" hidden="false" customHeight="false" outlineLevel="0" collapsed="false">
      <c r="A45" s="2" t="s">
        <v>43</v>
      </c>
      <c r="B45" s="2" t="s">
        <v>44</v>
      </c>
      <c r="C45" s="2" t="s">
        <v>165</v>
      </c>
      <c r="D45" s="3" t="s">
        <v>166</v>
      </c>
      <c r="E45" s="3" t="s">
        <v>164</v>
      </c>
      <c r="F45" s="3" t="s">
        <v>125</v>
      </c>
    </row>
    <row r="46" customFormat="false" ht="15" hidden="false" customHeight="false" outlineLevel="0" collapsed="false">
      <c r="A46" s="2" t="s">
        <v>43</v>
      </c>
      <c r="B46" s="2" t="s">
        <v>44</v>
      </c>
      <c r="C46" s="2" t="s">
        <v>167</v>
      </c>
      <c r="D46" s="3" t="s">
        <v>168</v>
      </c>
      <c r="E46" s="3" t="s">
        <v>169</v>
      </c>
      <c r="F46" s="3" t="s">
        <v>91</v>
      </c>
    </row>
    <row r="47" customFormat="false" ht="15" hidden="false" customHeight="false" outlineLevel="0" collapsed="false">
      <c r="A47" s="2" t="s">
        <v>43</v>
      </c>
      <c r="B47" s="2" t="s">
        <v>44</v>
      </c>
      <c r="C47" s="2" t="s">
        <v>170</v>
      </c>
      <c r="D47" s="3" t="s">
        <v>171</v>
      </c>
      <c r="E47" s="3" t="s">
        <v>169</v>
      </c>
      <c r="F47" s="3" t="s">
        <v>91</v>
      </c>
    </row>
  </sheetData>
  <autoFilter ref="A1:F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52"/>
  </cols>
  <sheetData>
    <row r="1" customFormat="false" ht="25.5" hidden="false" customHeight="true" outlineLevel="0" collapsed="false">
      <c r="A1" s="1" t="s">
        <v>50</v>
      </c>
      <c r="B1" s="1" t="s">
        <v>2</v>
      </c>
      <c r="C1" s="1" t="s">
        <v>172</v>
      </c>
    </row>
    <row r="2" customFormat="false" ht="15" hidden="false" customHeight="false" outlineLevel="0" collapsed="false">
      <c r="A2" s="2" t="s">
        <v>9</v>
      </c>
      <c r="B2" s="2" t="s">
        <v>10</v>
      </c>
      <c r="C2" s="3" t="s">
        <v>173</v>
      </c>
    </row>
    <row r="3" customFormat="false" ht="15" hidden="false" customHeight="false" outlineLevel="0" collapsed="false">
      <c r="A3" s="2" t="s">
        <v>9</v>
      </c>
      <c r="B3" s="2" t="s">
        <v>10</v>
      </c>
      <c r="C3" s="3" t="s">
        <v>174</v>
      </c>
    </row>
    <row r="4" customFormat="false" ht="15" hidden="false" customHeight="false" outlineLevel="0" collapsed="false">
      <c r="A4" s="2" t="s">
        <v>16</v>
      </c>
      <c r="B4" s="2" t="s">
        <v>17</v>
      </c>
      <c r="C4" s="3" t="s">
        <v>175</v>
      </c>
    </row>
    <row r="5" customFormat="false" ht="15" hidden="false" customHeight="false" outlineLevel="0" collapsed="false">
      <c r="A5" s="2" t="s">
        <v>16</v>
      </c>
      <c r="B5" s="2" t="s">
        <v>17</v>
      </c>
      <c r="C5" s="3" t="s">
        <v>176</v>
      </c>
    </row>
    <row r="6" customFormat="false" ht="15" hidden="false" customHeight="false" outlineLevel="0" collapsed="false">
      <c r="A6" s="2" t="s">
        <v>23</v>
      </c>
      <c r="B6" s="2" t="s">
        <v>24</v>
      </c>
      <c r="C6" s="3" t="s">
        <v>177</v>
      </c>
    </row>
    <row r="7" customFormat="false" ht="15" hidden="false" customHeight="false" outlineLevel="0" collapsed="false">
      <c r="A7" s="2" t="s">
        <v>23</v>
      </c>
      <c r="B7" s="2" t="s">
        <v>24</v>
      </c>
      <c r="C7" s="3" t="s">
        <v>178</v>
      </c>
    </row>
    <row r="8" customFormat="false" ht="15" hidden="false" customHeight="false" outlineLevel="0" collapsed="false">
      <c r="A8" s="2" t="s">
        <v>30</v>
      </c>
      <c r="B8" s="2" t="s">
        <v>31</v>
      </c>
      <c r="C8" s="3" t="s">
        <v>179</v>
      </c>
    </row>
    <row r="9" customFormat="false" ht="15" hidden="false" customHeight="false" outlineLevel="0" collapsed="false">
      <c r="A9" s="2" t="s">
        <v>30</v>
      </c>
      <c r="B9" s="2" t="s">
        <v>31</v>
      </c>
      <c r="C9" s="3" t="s">
        <v>180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3" t="s">
        <v>181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3" t="s">
        <v>182</v>
      </c>
    </row>
    <row r="12" customFormat="false" ht="15" hidden="false" customHeight="false" outlineLevel="0" collapsed="false">
      <c r="A12" s="2" t="s">
        <v>43</v>
      </c>
      <c r="B12" s="2" t="s">
        <v>44</v>
      </c>
      <c r="C12" s="3" t="s">
        <v>183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3" t="s">
        <v>184</v>
      </c>
    </row>
    <row r="14" customFormat="false" ht="15" hidden="false" customHeight="false" outlineLevel="0" collapsed="false">
      <c r="A14" s="2" t="s">
        <v>43</v>
      </c>
      <c r="B14" s="2" t="s">
        <v>44</v>
      </c>
      <c r="C14" s="3" t="s">
        <v>185</v>
      </c>
    </row>
  </sheetData>
  <autoFilter ref="A1:C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6.15" hidden="false" customHeight="false" outlineLevel="0" collapsed="false">
      <c r="A1" s="4" t="s">
        <v>186</v>
      </c>
    </row>
    <row r="3" customFormat="false" ht="15" hidden="false" customHeight="false" outlineLevel="0" collapsed="false">
      <c r="A3" s="5" t="s">
        <v>187</v>
      </c>
    </row>
    <row r="4" customFormat="false" ht="15" hidden="false" customHeight="false" outlineLevel="0" collapsed="false">
      <c r="A4" s="6" t="s">
        <v>188</v>
      </c>
      <c r="B4" s="7" t="s">
        <v>189</v>
      </c>
    </row>
    <row r="5" customFormat="false" ht="15" hidden="false" customHeight="false" outlineLevel="0" collapsed="false">
      <c r="A5" s="6" t="s">
        <v>190</v>
      </c>
      <c r="B5" s="7" t="s">
        <v>191</v>
      </c>
    </row>
    <row r="6" customFormat="false" ht="15" hidden="false" customHeight="false" outlineLevel="0" collapsed="false">
      <c r="A6" s="6" t="s">
        <v>192</v>
      </c>
      <c r="B6" s="7" t="s">
        <v>193</v>
      </c>
    </row>
    <row r="7" customFormat="false" ht="15" hidden="false" customHeight="false" outlineLevel="0" collapsed="false">
      <c r="A7" s="6" t="s">
        <v>194</v>
      </c>
      <c r="B7" s="7" t="s">
        <v>195</v>
      </c>
    </row>
    <row r="8" customFormat="false" ht="15" hidden="false" customHeight="false" outlineLevel="0" collapsed="false">
      <c r="A8" s="5"/>
    </row>
    <row r="9" customFormat="false" ht="15" hidden="false" customHeight="false" outlineLevel="0" collapsed="false">
      <c r="A9" s="5" t="s">
        <v>196</v>
      </c>
    </row>
    <row r="10" customFormat="false" ht="23.85" hidden="false" customHeight="false" outlineLevel="0" collapsed="false">
      <c r="A10" s="6" t="s">
        <v>197</v>
      </c>
      <c r="B10" s="7" t="s">
        <v>198</v>
      </c>
    </row>
    <row r="11" customFormat="false" ht="15" hidden="false" customHeight="false" outlineLevel="0" collapsed="false">
      <c r="A11" s="6" t="s">
        <v>5</v>
      </c>
      <c r="B11" s="7" t="s">
        <v>199</v>
      </c>
    </row>
    <row r="12" customFormat="false" ht="15" hidden="false" customHeight="false" outlineLevel="0" collapsed="false">
      <c r="A12" s="6" t="s">
        <v>7</v>
      </c>
      <c r="B12" s="7" t="s">
        <v>200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 t="s">
        <v>201</v>
      </c>
    </row>
    <row r="15" customFormat="false" ht="15" hidden="false" customHeight="false" outlineLevel="0" collapsed="false">
      <c r="A15" s="6" t="s">
        <v>202</v>
      </c>
      <c r="B15" s="7" t="s">
        <v>203</v>
      </c>
    </row>
    <row r="16" customFormat="false" ht="15" hidden="false" customHeight="false" outlineLevel="0" collapsed="false">
      <c r="A16" s="6" t="s">
        <v>204</v>
      </c>
      <c r="B16" s="7" t="s">
        <v>205</v>
      </c>
    </row>
    <row r="17" customFormat="false" ht="15" hidden="false" customHeight="false" outlineLevel="0" collapsed="false">
      <c r="A17" s="6" t="s">
        <v>206</v>
      </c>
      <c r="B17" s="7" t="s">
        <v>207</v>
      </c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5" t="s">
        <v>208</v>
      </c>
    </row>
    <row r="20" customFormat="false" ht="15" hidden="false" customHeight="false" outlineLevel="0" collapsed="false">
      <c r="A20" s="6" t="s">
        <v>209</v>
      </c>
      <c r="B20" s="7" t="s">
        <v>210</v>
      </c>
    </row>
    <row r="21" customFormat="false" ht="15" hidden="false" customHeight="false" outlineLevel="0" collapsed="false">
      <c r="A21" s="6" t="s">
        <v>211</v>
      </c>
      <c r="B21" s="7" t="s">
        <v>212</v>
      </c>
    </row>
    <row r="22" customFormat="false" ht="15" hidden="false" customHeight="false" outlineLevel="0" collapsed="false">
      <c r="A22" s="6" t="s">
        <v>213</v>
      </c>
      <c r="B22" s="7" t="s">
        <v>214</v>
      </c>
    </row>
    <row r="23" customFormat="false" ht="23.85" hidden="false" customHeight="false" outlineLevel="0" collapsed="false">
      <c r="A23" s="6" t="s">
        <v>215</v>
      </c>
      <c r="B23" s="7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2026-09-15T05:52:48Z</dcterms:created>
  <dc:creator>openpyxl</dc:creator>
  <dc:description/>
  <dc:language>en-US</dc:language>
  <cp:lastModifiedBy/>
  <dcterms:modified xsi:type="dcterms:W3CDTF">2026-09-15T05:52:48Z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